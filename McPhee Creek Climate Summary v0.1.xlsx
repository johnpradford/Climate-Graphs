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iologicenv.sharepoint.com/sites/BiologicGroupSharePoint/Shared Documents/01_Biologic_Group/Templates/Environmental_Templates/"/>
    </mc:Choice>
  </mc:AlternateContent>
  <xr:revisionPtr revIDLastSave="59" documentId="8_{9E420B1C-9648-40CF-A1B1-A8BACB083DF2}" xr6:coauthVersionLast="47" xr6:coauthVersionMax="47" xr10:uidLastSave="{5A407877-8CB5-4701-9801-63E248B69664}"/>
  <bookViews>
    <workbookView xWindow="2730" yWindow="-13020" windowWidth="24240" windowHeight="13020" tabRatio="641" firstSheet="1" activeTab="6" xr2:uid="{36AD4202-AE7B-41D3-9856-067E6F298E2F}"/>
  </bookViews>
  <sheets>
    <sheet name="INSTRUCTIONS" sheetId="10" r:id="rId1"/>
    <sheet name="BOM Data" sheetId="1" r:id="rId2"/>
    <sheet name="Pre Survey" sheetId="7" r:id="rId3"/>
    <sheet name="Temperature" sheetId="5" r:id="rId4"/>
    <sheet name="Rainfall" sheetId="6" r:id="rId5"/>
    <sheet name="CLIMATE SUMMARY" sheetId="9" r:id="rId6"/>
    <sheet name="CLIMATE SUMMARY + SURVEY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7" l="1"/>
  <c r="C13" i="7"/>
  <c r="C14" i="7"/>
  <c r="C10" i="7"/>
  <c r="C9" i="7"/>
  <c r="B13" i="7"/>
  <c r="B10" i="7"/>
  <c r="B8" i="7"/>
  <c r="B9" i="7"/>
  <c r="C8" i="7"/>
  <c r="D8" i="7" s="1"/>
  <c r="B15" i="7"/>
  <c r="B14" i="7"/>
  <c r="D9" i="7" l="1"/>
  <c r="D10" i="7"/>
  <c r="D14" i="7"/>
  <c r="D13" i="7"/>
  <c r="D15" i="7"/>
</calcChain>
</file>

<file path=xl/sharedStrings.xml><?xml version="1.0" encoding="utf-8"?>
<sst xmlns="http://schemas.openxmlformats.org/spreadsheetml/2006/main" count="176" uniqueCount="152">
  <si>
    <t>Choosing appropriate weather station for climactic (rainfall and Temperature) data</t>
  </si>
  <si>
    <r>
      <t xml:space="preserve">Please note that data and dates in this worksheet for 'Newman Aero' station are an </t>
    </r>
    <r>
      <rPr>
        <b/>
        <i/>
        <sz val="10"/>
        <color theme="4"/>
        <rFont val="Arial"/>
        <family val="2"/>
      </rPr>
      <t>example</t>
    </r>
    <r>
      <rPr>
        <i/>
        <sz val="10"/>
        <color theme="4"/>
        <rFont val="Arial"/>
        <family val="2"/>
      </rPr>
      <t xml:space="preserve"> only </t>
    </r>
  </si>
  <si>
    <t>Go to BOM "Weather and Climate data" webpage</t>
  </si>
  <si>
    <t>https://reg.bom.gov.au/climate/data/</t>
  </si>
  <si>
    <r>
      <t xml:space="preserve">Click "Map search" to find best weather station/s for 'Rainfall' and 'Temperature' data based on location of the project/nearest town:
     a. under "Zoom to" type in location of the project/nearest town (e.g. Newman) and select matching town (see </t>
    </r>
    <r>
      <rPr>
        <b/>
        <sz val="10"/>
        <rFont val="Arial"/>
        <family val="2"/>
      </rPr>
      <t>Figure 1</t>
    </r>
    <r>
      <rPr>
        <sz val="10"/>
        <rFont val="Arial"/>
        <family val="2"/>
      </rPr>
      <t xml:space="preserve">)
     b. under "I would like" dropdown box 'select data type' select 'Monthly mean maximum/minimum temp' (see </t>
    </r>
    <r>
      <rPr>
        <b/>
        <sz val="10"/>
        <rFont val="Arial"/>
        <family val="2"/>
      </rPr>
      <t>Figure 2</t>
    </r>
    <r>
      <rPr>
        <sz val="10"/>
        <rFont val="Arial"/>
        <family val="2"/>
      </rPr>
      <t xml:space="preserve">)
     c. make a note of which weather station is closest to get appropropriate temperature data from
     d. go back to "I would like" dropdown box 'select data type' and select 'Monthly rainfall' (see </t>
    </r>
    <r>
      <rPr>
        <b/>
        <sz val="10"/>
        <rFont val="Arial"/>
        <family val="2"/>
      </rPr>
      <t>Figure 2</t>
    </r>
    <r>
      <rPr>
        <sz val="10"/>
        <rFont val="Arial"/>
        <family val="2"/>
      </rPr>
      <t xml:space="preserve">)
     e. make a note whether rainfall data can be obtained from the same weather station or another station 
</t>
    </r>
    <r>
      <rPr>
        <i/>
        <sz val="10"/>
        <rFont val="Arial"/>
        <family val="2"/>
      </rPr>
      <t>(if getting data from two weather stations make sure you follow step 7 below, if only one station disregard step)</t>
    </r>
  </si>
  <si>
    <t>Figure 1:                                                                                      Figure 2:</t>
  </si>
  <si>
    <t>Graphing long-term monthly average climate data</t>
  </si>
  <si>
    <t>For monthly long term average select the following from "Text search"</t>
  </si>
  <si>
    <t>1. Data about: Weather &amp; climate
   Type of data: Statistics, Monthly</t>
  </si>
  <si>
    <t>2. Select a weather station in the area of interest (new options will apear with entries/selections)
     a. type in the location of the project/nearest town (e.g. Newman)
     b. select matching town (e.g. Newman, WA 23.36°s, 119.73°E)
     c. select nearest weather station (make sure "Only show open stations" box is ticked) (e.g. 007176 Newman Aero WA (10km away)</t>
  </si>
  <si>
    <t>3. Select get data when weather station number appears. A new tab will open with selected climate data.</t>
  </si>
  <si>
    <t>In new tab opened, select "Data file of statistics for this site (csv)" from below "Climate statistics from Australian locations" to download a csv of all the data.</t>
  </si>
  <si>
    <t>Open the downloaded CSV file, select all data on spreadsheet and copy</t>
  </si>
  <si>
    <r>
      <t>Paste selected data into '</t>
    </r>
    <r>
      <rPr>
        <b/>
        <sz val="10"/>
        <rFont val="Arial"/>
        <family val="2"/>
      </rPr>
      <t>BOM Data</t>
    </r>
    <r>
      <rPr>
        <sz val="10"/>
        <rFont val="Arial"/>
        <family val="2"/>
      </rPr>
      <t>' tab</t>
    </r>
  </si>
  <si>
    <r>
      <t xml:space="preserve">1. Highlight rows 13, 23 and 36 and update text in forst column. </t>
    </r>
    <r>
      <rPr>
        <b/>
        <i/>
        <sz val="10"/>
        <rFont val="Arial"/>
        <family val="2"/>
      </rPr>
      <t>Dates are e.g. only.</t>
    </r>
  </si>
  <si>
    <r>
      <t xml:space="preserve">    a. Mean maximum temperature (Degrees C) for years 1996 to 2024. </t>
    </r>
    <r>
      <rPr>
        <b/>
        <sz val="10"/>
        <rFont val="Arial"/>
        <family val="2"/>
      </rPr>
      <t xml:space="preserve">Change wording to </t>
    </r>
    <r>
      <rPr>
        <sz val="10"/>
        <rFont val="Arial"/>
        <family val="2"/>
      </rPr>
      <t>LTA max temp (1996–2024)</t>
    </r>
  </si>
  <si>
    <r>
      <t xml:space="preserve">    b. Mean minimum temperature (Degrees C) for years 1996 to 2024. </t>
    </r>
    <r>
      <rPr>
        <b/>
        <sz val="10"/>
        <rFont val="Arial"/>
        <family val="2"/>
      </rPr>
      <t xml:space="preserve">Change wording to </t>
    </r>
    <r>
      <rPr>
        <sz val="10"/>
        <rFont val="Arial"/>
        <family val="2"/>
      </rPr>
      <t>LTA min temp (1996–2024)</t>
    </r>
  </si>
  <si>
    <r>
      <t xml:space="preserve">    c. Mean rainfall (mm) for years 1971 to 20124. </t>
    </r>
    <r>
      <rPr>
        <b/>
        <sz val="10"/>
        <rFont val="Arial"/>
        <family val="2"/>
      </rPr>
      <t xml:space="preserve">Change wording to </t>
    </r>
    <r>
      <rPr>
        <sz val="10"/>
        <rFont val="Arial"/>
        <family val="2"/>
      </rPr>
      <t>LTA rainfall (1971–2024)</t>
    </r>
  </si>
  <si>
    <r>
      <t xml:space="preserve">2. Change order of months (cells B12-B69 across to M12-M69) by </t>
    </r>
    <r>
      <rPr>
        <u/>
        <sz val="10"/>
        <rFont val="Arial"/>
        <family val="2"/>
      </rPr>
      <t>12 month prior to survey</t>
    </r>
    <r>
      <rPr>
        <sz val="10"/>
        <rFont val="Arial"/>
        <family val="2"/>
      </rPr>
      <t xml:space="preserve"> order, leaving "Annual" column in 'N':
</t>
    </r>
    <r>
      <rPr>
        <i/>
        <sz val="10"/>
        <rFont val="Arial"/>
        <family val="2"/>
      </rPr>
      <t>e.g. if survey was in September 2023 then B12-B69 should be October and M12-M69 should be September</t>
    </r>
  </si>
  <si>
    <r>
      <rPr>
        <i/>
        <sz val="10"/>
        <rFont val="Arial"/>
        <family val="2"/>
      </rPr>
      <t xml:space="preserve">Only follow this step if Rainfall data is being sourced from a </t>
    </r>
    <r>
      <rPr>
        <b/>
        <i/>
        <sz val="10"/>
        <rFont val="Arial"/>
        <family val="2"/>
      </rPr>
      <t>different</t>
    </r>
    <r>
      <rPr>
        <i/>
        <sz val="10"/>
        <rFont val="Arial"/>
        <family val="2"/>
      </rPr>
      <t xml:space="preserve"> weather station than temperature data:</t>
    </r>
    <r>
      <rPr>
        <sz val="10"/>
        <rFont val="Arial"/>
        <family val="2"/>
      </rPr>
      <t xml:space="preserve">
    a. follow steps 2 and 3 with the following change to step 3.1:
    b.  Data about: Rainfall
          Type of data: Observations, Monthly
    c. scroll down to "Summary statistics for all years" and copy 'Mean' data for months into appropriate monthly order in '</t>
    </r>
    <r>
      <rPr>
        <b/>
        <sz val="10"/>
        <rFont val="Arial"/>
        <family val="2"/>
      </rPr>
      <t>BOM data</t>
    </r>
    <r>
      <rPr>
        <sz val="10"/>
        <rFont val="Arial"/>
        <family val="2"/>
      </rPr>
      <t>' tab cells B36-N36</t>
    </r>
  </si>
  <si>
    <t>Adding climatic data for 6–12 months prior to survey</t>
  </si>
  <si>
    <r>
      <t xml:space="preserve">1. In </t>
    </r>
    <r>
      <rPr>
        <b/>
        <sz val="10"/>
        <rFont val="Arial"/>
        <family val="2"/>
      </rPr>
      <t xml:space="preserve">'Pre Survey' </t>
    </r>
    <r>
      <rPr>
        <sz val="10"/>
        <rFont val="Arial"/>
        <family val="2"/>
      </rPr>
      <t xml:space="preserve">tab change bracketed dates in cells A3-A5 to show 12 months before survey </t>
    </r>
    <r>
      <rPr>
        <i/>
        <sz val="10"/>
        <rFont val="Arial"/>
        <family val="2"/>
      </rPr>
      <t xml:space="preserve">e.g. if survey was in September 2023 brackets should show </t>
    </r>
    <r>
      <rPr>
        <sz val="10"/>
        <rFont val="Arial"/>
        <family val="2"/>
      </rPr>
      <t>(Oct 2022-Sep 2023)</t>
    </r>
    <r>
      <rPr>
        <i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     The corresponding dates in cells in B2-M2 should also be updated, with the last column 'M' showing the survey month (highlighted green)</t>
    </r>
  </si>
  <si>
    <t>1. Go to BOM "Weather and Climate data" webpage</t>
  </si>
  <si>
    <r>
      <t xml:space="preserve">2. For climatic data recorded for 6/12 months prior to survey select the following from "Text search"
</t>
    </r>
    <r>
      <rPr>
        <i/>
        <sz val="10"/>
        <rFont val="Arial"/>
        <family val="2"/>
      </rPr>
      <t>Note: data for Rainfall, Maximum Temperature and Minimum Temperature have to be selected individually via steps below (Rainfall on left, temperature on right)</t>
    </r>
  </si>
  <si>
    <r>
      <t xml:space="preserve">    a. Data about: </t>
    </r>
    <r>
      <rPr>
        <b/>
        <sz val="10"/>
        <rFont val="Arial"/>
        <family val="2"/>
      </rPr>
      <t>Rainfall</t>
    </r>
    <r>
      <rPr>
        <sz val="10"/>
        <rFont val="Arial"/>
        <family val="2"/>
      </rPr>
      <t xml:space="preserve">
        Type of data: Observations, Monthly (see Figure -&gt;)</t>
    </r>
  </si>
  <si>
    <r>
      <t xml:space="preserve">    a. Data about: </t>
    </r>
    <r>
      <rPr>
        <b/>
        <sz val="10"/>
        <rFont val="Arial"/>
        <family val="2"/>
      </rPr>
      <t>Temperature</t>
    </r>
    <r>
      <rPr>
        <sz val="10"/>
        <rFont val="Arial"/>
        <family val="2"/>
      </rPr>
      <t xml:space="preserve">
        Type of data: Observations, Monthly
        from dropdown chose either Mean maximum temperature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Mean minimum temperature (see Figure -&gt;)</t>
    </r>
  </si>
  <si>
    <t xml:space="preserve">    b. Select a weather station in the area of interest (new options will apear with entries/selections)
         i. type in the location of the project/nearest town (e.g. Newman)
         ii. select matching town (e.g. Newman, WA 23.36°s, 119.73°E)
         iii. select nearest weather station (make sure "Only show open stations" box is ticked) (e.g. 007176 Newman Aero WA (10km away)</t>
  </si>
  <si>
    <t>3. Select get data when weather station number appears. A new tab will open with selected monthly rainfall data.</t>
  </si>
  <si>
    <r>
      <t xml:space="preserve">3. Select get data when weather station number appears. A new tab will open with selected monthly mean maximum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minimum temperature data.</t>
    </r>
  </si>
  <si>
    <r>
      <t>4. Copy relevant data across to '</t>
    </r>
    <r>
      <rPr>
        <b/>
        <sz val="10"/>
        <rFont val="Arial"/>
        <family val="2"/>
      </rPr>
      <t>Pre Survey</t>
    </r>
    <r>
      <rPr>
        <sz val="10"/>
        <rFont val="Arial"/>
        <family val="2"/>
      </rPr>
      <t>' tab (ensure climate recorded during month/s of survey period included)</t>
    </r>
  </si>
  <si>
    <r>
      <t xml:space="preserve">5. Repeat steps </t>
    </r>
    <r>
      <rPr>
        <b/>
        <sz val="10"/>
        <rFont val="Arial"/>
        <family val="2"/>
      </rPr>
      <t>2a through to 4</t>
    </r>
    <r>
      <rPr>
        <sz val="10"/>
        <rFont val="Arial"/>
        <family val="2"/>
      </rPr>
      <t xml:space="preserve"> to get the other temperature data (either Mean maximum temperature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Mean minimum temperature)</t>
    </r>
  </si>
  <si>
    <r>
      <rPr>
        <sz val="10"/>
        <rFont val="Arial"/>
        <family val="2"/>
      </rPr>
      <t>All data shouldshow in graphs in '</t>
    </r>
    <r>
      <rPr>
        <b/>
        <sz val="10"/>
        <rFont val="Arial"/>
        <family val="2"/>
      </rPr>
      <t>CLIMATE SUMMARY</t>
    </r>
    <r>
      <rPr>
        <sz val="10"/>
        <rFont val="Arial"/>
        <family val="2"/>
      </rPr>
      <t>' or '</t>
    </r>
    <r>
      <rPr>
        <b/>
        <sz val="10"/>
        <rFont val="Arial"/>
        <family val="2"/>
      </rPr>
      <t>CLIMATE SUMMARY + SURVEY</t>
    </r>
    <r>
      <rPr>
        <sz val="10"/>
        <rFont val="Arial"/>
        <family val="2"/>
      </rPr>
      <t>' tabs; however you may have to</t>
    </r>
    <r>
      <rPr>
        <b/>
        <sz val="10"/>
        <rFont val="Arial"/>
        <family val="2"/>
      </rPr>
      <t xml:space="preserve"> relink data </t>
    </r>
    <r>
      <rPr>
        <sz val="10"/>
        <rFont val="Arial"/>
        <family val="2"/>
      </rPr>
      <t>(step 10)</t>
    </r>
  </si>
  <si>
    <r>
      <t xml:space="preserve">CLIMATE SUMMARY </t>
    </r>
    <r>
      <rPr>
        <sz val="10"/>
        <rFont val="Arial"/>
        <family val="2"/>
      </rPr>
      <t>displays annual long-term average</t>
    </r>
  </si>
  <si>
    <t>Figure 3:                                                                                                               Figure 4:</t>
  </si>
  <si>
    <r>
      <t xml:space="preserve">CLIMATE SUMMARY+ SURVEY </t>
    </r>
    <r>
      <rPr>
        <sz val="10"/>
        <rFont val="Arial"/>
        <family val="2"/>
      </rPr>
      <t>displays annual long-term average with pre survey climate data from '</t>
    </r>
    <r>
      <rPr>
        <b/>
        <sz val="10"/>
        <rFont val="Arial"/>
        <family val="2"/>
      </rPr>
      <t>Pre Survey</t>
    </r>
    <r>
      <rPr>
        <sz val="10"/>
        <rFont val="Arial"/>
        <family val="2"/>
      </rPr>
      <t>' tab</t>
    </r>
  </si>
  <si>
    <r>
      <t>In order to relink 'CLIMATE SUMMARY + SURVEY' graph to correct data:
a. select graph and go to '</t>
    </r>
    <r>
      <rPr>
        <b/>
        <sz val="10"/>
        <rFont val="Arial"/>
        <family val="2"/>
      </rPr>
      <t>Chart Design</t>
    </r>
    <r>
      <rPr>
        <sz val="10"/>
        <rFont val="Arial"/>
        <family val="2"/>
      </rPr>
      <t>' and click '</t>
    </r>
    <r>
      <rPr>
        <b/>
        <sz val="10"/>
        <rFont val="Arial"/>
        <family val="2"/>
      </rPr>
      <t>Select Data</t>
    </r>
    <r>
      <rPr>
        <sz val="10"/>
        <rFont val="Arial"/>
        <family val="2"/>
      </rPr>
      <t>'
b. Under '</t>
    </r>
    <r>
      <rPr>
        <b/>
        <sz val="10"/>
        <rFont val="Arial"/>
        <family val="2"/>
      </rPr>
      <t>Legend Entries (Series)</t>
    </r>
    <r>
      <rPr>
        <sz val="10"/>
        <rFont val="Arial"/>
        <family val="2"/>
      </rPr>
      <t>' click on a heading (</t>
    </r>
    <r>
      <rPr>
        <i/>
        <sz val="10"/>
        <rFont val="Arial"/>
        <family val="2"/>
      </rPr>
      <t>e.g. LTA max temp (1996-2023)</t>
    </r>
    <r>
      <rPr>
        <sz val="10"/>
        <rFont val="Arial"/>
        <family val="2"/>
      </rPr>
      <t>) and then click '</t>
    </r>
    <r>
      <rPr>
        <b/>
        <sz val="10"/>
        <rFont val="Arial"/>
        <family val="2"/>
      </rPr>
      <t>Edit</t>
    </r>
    <r>
      <rPr>
        <sz val="10"/>
        <rFont val="Arial"/>
        <family val="2"/>
      </rPr>
      <t xml:space="preserve">' (see </t>
    </r>
    <r>
      <rPr>
        <b/>
        <sz val="10"/>
        <rFont val="Arial"/>
        <family val="2"/>
      </rPr>
      <t>Figure 3</t>
    </r>
    <r>
      <rPr>
        <sz val="10"/>
        <rFont val="Arial"/>
        <family val="2"/>
      </rPr>
      <t>)
c. '</t>
    </r>
    <r>
      <rPr>
        <b/>
        <sz val="10"/>
        <rFont val="Arial"/>
        <family val="2"/>
      </rPr>
      <t>Series name</t>
    </r>
    <r>
      <rPr>
        <sz val="10"/>
        <rFont val="Arial"/>
        <family val="2"/>
      </rPr>
      <t>' refers to legend title (</t>
    </r>
    <r>
      <rPr>
        <i/>
        <sz val="10"/>
        <rFont val="Arial"/>
        <family val="2"/>
      </rPr>
      <t>e.g. LTA max temp (1996-2023)</t>
    </r>
    <r>
      <rPr>
        <sz val="10"/>
        <rFont val="Arial"/>
        <family val="2"/>
      </rPr>
      <t>) and '</t>
    </r>
    <r>
      <rPr>
        <b/>
        <sz val="10"/>
        <rFont val="Arial"/>
        <family val="2"/>
      </rPr>
      <t>Series value</t>
    </r>
    <r>
      <rPr>
        <sz val="10"/>
        <rFont val="Arial"/>
        <family val="2"/>
      </rPr>
      <t xml:space="preserve">' refers to associated 12-month data (see </t>
    </r>
    <r>
      <rPr>
        <b/>
        <sz val="10"/>
        <rFont val="Arial"/>
        <family val="2"/>
      </rPr>
      <t>Figure 4</t>
    </r>
    <r>
      <rPr>
        <sz val="10"/>
        <rFont val="Arial"/>
        <family val="2"/>
      </rPr>
      <t>)</t>
    </r>
  </si>
  <si>
    <r>
      <t xml:space="preserve">Adjust order of 'Legend Entry (Series)' by using up/down arrows so that it </t>
    </r>
    <r>
      <rPr>
        <b/>
        <sz val="10"/>
        <rFont val="Arial"/>
        <family val="2"/>
      </rPr>
      <t>matches with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order in Figure 3</t>
    </r>
  </si>
  <si>
    <t>Adjust position of shadedbox on graph to cover period of field, copy and paste to create a second box for multiple season surveys</t>
  </si>
  <si>
    <t>Adjust size of legend text to 14 and if necessary angle clockwise by 45 degrees</t>
  </si>
  <si>
    <t>Copy graph and paste into word document (past for editable graph or paste as picture for uneditable image)</t>
  </si>
  <si>
    <t>Monthly Climate Statistics for 'NEWMAN AERO' [007176]</t>
  </si>
  <si>
    <t>Created on [ 22 Mar 2023 14:58:18 GMT+00:00]</t>
  </si>
  <si>
    <t>007176 NEWMAN AERO</t>
  </si>
  <si>
    <t>Commenced: 1971</t>
  </si>
  <si>
    <t>Last Record: 2023</t>
  </si>
  <si>
    <t>Latitude:   23.42 Degrees South</t>
  </si>
  <si>
    <t>Longitude:  119.80 Degrees East</t>
  </si>
  <si>
    <t>Elevation:     524 m</t>
  </si>
  <si>
    <t>State: WA</t>
  </si>
  <si>
    <t>Statistic Element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</si>
  <si>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</si>
  <si>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</si>
  <si>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</si>
  <si>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</si>
  <si>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</si>
  <si>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</si>
  <si>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</si>
  <si>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</si>
  <si>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</si>
  <si>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</si>
  <si>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</si>
  <si>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Annual</t>
  </si>
  <si>
    <t>Number of Years</t>
  </si>
  <si>
    <t>Start Year</t>
  </si>
  <si>
    <t>End Year</t>
  </si>
  <si>
    <t xml:space="preserve">Highest temperature (Degrees C) for years 1996 to 2023 </t>
  </si>
  <si>
    <t xml:space="preserve">Date of Highest temperature for years 1996 to 2023 </t>
  </si>
  <si>
    <t>N/A</t>
  </si>
  <si>
    <t xml:space="preserve">Lowest maximum temperature (Degrees C) for years 1996 to 2023 </t>
  </si>
  <si>
    <t xml:space="preserve">Date of Lowest maximum temperature for years 1996 to 2023 </t>
  </si>
  <si>
    <t xml:space="preserve">Decile 1 maximum temperature (Degrees C) for years 1996 to 2023 </t>
  </si>
  <si>
    <t xml:space="preserve"> </t>
  </si>
  <si>
    <t xml:space="preserve">Decile 9 maximum temperature (Degrees C) for years 1996 to 2023 </t>
  </si>
  <si>
    <t xml:space="preserve">Mean number of days &gt;= 30 Degrees C for years 1996 to 2023 </t>
  </si>
  <si>
    <t xml:space="preserve">Mean number of days &gt;= 35 Degrees C for years 1996 to 2023 </t>
  </si>
  <si>
    <t xml:space="preserve">Mean number of days &gt;= 40 Degrees C for years 1996 to 2023 </t>
  </si>
  <si>
    <t xml:space="preserve">Lowest temperature (Degrees C) for years 1996 to 2023 </t>
  </si>
  <si>
    <t xml:space="preserve">Date of Lowest temperature for years 1996 to 2023 </t>
  </si>
  <si>
    <t xml:space="preserve">Highest minimum temperature (Degrees C) for years 1996 to 2023 </t>
  </si>
  <si>
    <t xml:space="preserve">Date of Highest minimum temperature for years 1996 to 2023 </t>
  </si>
  <si>
    <t xml:space="preserve">Decile 1 minimum temperature (Degrees C) for years 1996 to 2023 </t>
  </si>
  <si>
    <t xml:space="preserve">Decile 9 minimum temperature (Degrees C) for years 1996 to 2023 </t>
  </si>
  <si>
    <t xml:space="preserve">Mean number of days &lt;= 2 Degrees C for years 1996 to 2023 </t>
  </si>
  <si>
    <t xml:space="preserve">Mean number of days &lt;= 0 Degrees C for years 1996 to 2023 </t>
  </si>
  <si>
    <t xml:space="preserve">Mean daily ground minimum temperature Degrees C for years null to null </t>
  </si>
  <si>
    <t xml:space="preserve">Lowest ground temperature Degrees C for years null to null </t>
  </si>
  <si>
    <t xml:space="preserve">Date of Lowest ground temperature  for years null to null </t>
  </si>
  <si>
    <t xml:space="preserve">Mean number of days ground min. temp. &lt;= -1 Degrees C for years null to null </t>
  </si>
  <si>
    <t xml:space="preserve">Highest rainfall (mm) for years 1971 to 2023 </t>
  </si>
  <si>
    <t xml:space="preserve">Date of Highest rainfall for years 1971 to 2023 </t>
  </si>
  <si>
    <t xml:space="preserve">Lowest rainfall (mm) for years 1971 to 2023 </t>
  </si>
  <si>
    <t xml:space="preserve">Date of Lowest rainfall for years 1971 to 2023 </t>
  </si>
  <si>
    <t xml:space="preserve">Decile 1 monthly rainfall (mm) for years 1971 to 2023 </t>
  </si>
  <si>
    <t xml:space="preserve">Decile 5 (median) monthly rainfall (mm) for years 1971 to 2023 </t>
  </si>
  <si>
    <t xml:space="preserve">Decile 9 monthly rainfall (mm) for years 1971 to 2023 </t>
  </si>
  <si>
    <t xml:space="preserve">Highest daily rainfall (mm) for years 1971 to 2023 </t>
  </si>
  <si>
    <t xml:space="preserve">Date of Highest daily rainfall for years 1971 to 2023 </t>
  </si>
  <si>
    <t xml:space="preserve">Mean number of days of rain for years 1971 to 2023 </t>
  </si>
  <si>
    <t xml:space="preserve">Mean number of days of rain &gt;= 1 mm for years 1971 to 2023 </t>
  </si>
  <si>
    <t xml:space="preserve">Mean number of days of rain &gt;= 10 mm for years 1971 to 2023 </t>
  </si>
  <si>
    <t xml:space="preserve">Mean number of days of rain &gt;= 25 mm for years 1971 to 2023 </t>
  </si>
  <si>
    <t xml:space="preserve">Mean daily wind run (km) for years 2003 to 2023 </t>
  </si>
  <si>
    <t xml:space="preserve">Maximum wind gust speed (km/h) for years 2003 to 2023 </t>
  </si>
  <si>
    <t xml:space="preserve">Date of Maximum wind gust speed for years 2003 to 2023 </t>
  </si>
  <si>
    <t xml:space="preserve">Mean daily sunshine (hours) for years null to null </t>
  </si>
  <si>
    <t xml:space="preserve">Mean daily solar exposure (MJ/(m*m)) for years 1990 to 2023 </t>
  </si>
  <si>
    <t xml:space="preserve">Mean number of clear days for years 1996 to 2010 </t>
  </si>
  <si>
    <t xml:space="preserve">Mean number of cloudy days for years 1996 to 2010 </t>
  </si>
  <si>
    <t xml:space="preserve">Mean daily evaporation (mm) for years null to null </t>
  </si>
  <si>
    <t xml:space="preserve">Mean 9am temperature (Degrees C) for years 1994 to 2010 </t>
  </si>
  <si>
    <t xml:space="preserve">Mean 9am wet bulb temperature (Degrees C) for years 1994 to 2010 </t>
  </si>
  <si>
    <t xml:space="preserve">Mean 9am dew point temperature (Degrees C) for years 1994 to 2010 </t>
  </si>
  <si>
    <t xml:space="preserve">Mean 9am relative humidity (%) for years 1994 to 2010 </t>
  </si>
  <si>
    <t xml:space="preserve">Mean 9am cloud cover (okas) for years 1994 to 2010 </t>
  </si>
  <si>
    <t xml:space="preserve">Mean 9am wind speed (km/h) for years 1994 to 2010 </t>
  </si>
  <si>
    <t xml:space="preserve">Mean 3pm temperature (Degrees C) for years 1994 to 2010 </t>
  </si>
  <si>
    <t xml:space="preserve">Mean 3pm wet bulb temperature (Degrees C) for years 1994 to 2010 </t>
  </si>
  <si>
    <t xml:space="preserve">Mean 3pm dew point temperature (Degrees C) for years 1994 to 2010 </t>
  </si>
  <si>
    <t xml:space="preserve">Mean 3pm relative humidity (%) for years 1994 to 2010 </t>
  </si>
  <si>
    <t xml:space="preserve">Mean 3pm cloud cover (oktas) for years 1995 to 2010 </t>
  </si>
  <si>
    <t xml:space="preserve">Mean 3pm wind speed (km/h) for years 1994 to 2010 </t>
  </si>
  <si>
    <t>12 months prior</t>
  </si>
  <si>
    <t>6 months prior</t>
  </si>
  <si>
    <t>3 months prior</t>
  </si>
  <si>
    <t>Survey Timing</t>
  </si>
  <si>
    <t>SA</t>
  </si>
  <si>
    <t>LTA</t>
  </si>
  <si>
    <t>6 months rainfall</t>
  </si>
  <si>
    <t>3 months rainfall</t>
  </si>
  <si>
    <t>survey month rainfall</t>
  </si>
  <si>
    <t>12 month max temp</t>
  </si>
  <si>
    <t>12 month min temp</t>
  </si>
  <si>
    <t>12 month rainfall</t>
  </si>
  <si>
    <t>(check over LTA data to see that its averaging correct months)</t>
  </si>
  <si>
    <t>n/a</t>
  </si>
  <si>
    <t>Total rainfall (Nov 2024-Oct 2025)</t>
  </si>
  <si>
    <t>Mean max temp (Nov 2024-Oct 2025)</t>
  </si>
  <si>
    <t>Mean min temp (Nov 2024-Oct 2025)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</si>
  <si>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</si>
  <si>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</si>
  <si>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</si>
  <si>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</si>
  <si>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</si>
  <si>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</si>
  <si>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</si>
  <si>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</si>
  <si>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</si>
  <si>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</si>
  <si>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</si>
  <si>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LTA rainfall (1971–2025)</t>
  </si>
  <si>
    <t>LTA min temp (1996-2025)</t>
  </si>
  <si>
    <t>LTA max temp (1996-2025)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</si>
</sst>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0"/>
      <color theme="10"/>
      <name val="Arial"/>
      <family val="2"/>
    </font>
    <font>
      <b/>
      <sz val="12"/>
      <name val="Arial"/>
      <family val="2"/>
    </font>
    <font>
      <b/>
      <u/>
      <sz val="12"/>
      <color theme="10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i/>
      <sz val="10"/>
      <color theme="4"/>
      <name val="Arial"/>
      <family val="2"/>
    </font>
    <font>
      <b/>
      <i/>
      <sz val="10"/>
      <color theme="4"/>
      <name val="Arial"/>
      <family val="2"/>
    </font>
    <font>
      <i/>
      <sz val="10"/>
      <color rgb="FF666666"/>
      <name val="Arial"/>
      <family val="2"/>
    </font>
    <font>
      <sz val="10"/>
      <color rgb="FF00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4E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99"/>
      </left>
      <right style="medium">
        <color rgb="FFCCCC99"/>
      </right>
      <top style="medium">
        <color rgb="FFCCCC99"/>
      </top>
      <bottom style="medium">
        <color rgb="FFCCCC99"/>
      </bottom>
      <diagonal/>
    </border>
  </borders>
  <cellStyleXfs count="46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4" applyNumberFormat="0" applyAlignment="0" applyProtection="0"/>
    <xf numFmtId="0" fontId="18" fillId="7" borderId="5" applyNumberFormat="0" applyAlignment="0" applyProtection="0"/>
    <xf numFmtId="0" fontId="19" fillId="7" borderId="4" applyNumberFormat="0" applyAlignment="0" applyProtection="0"/>
    <xf numFmtId="0" fontId="20" fillId="0" borderId="6" applyNumberFormat="0" applyFill="0" applyAlignment="0" applyProtection="0"/>
    <xf numFmtId="0" fontId="21" fillId="8" borderId="7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9" borderId="8" applyNumberFormat="0" applyFont="0" applyAlignment="0" applyProtection="0"/>
  </cellStyleXfs>
  <cellXfs count="46">
    <xf numFmtId="0" fontId="0" fillId="0" borderId="0" xfId="0"/>
    <xf numFmtId="0" fontId="5" fillId="0" borderId="0" xfId="0" applyFont="1"/>
    <xf numFmtId="0" fontId="6" fillId="0" borderId="0" xfId="2" applyFont="1"/>
    <xf numFmtId="0" fontId="7" fillId="0" borderId="0" xfId="0" applyFont="1"/>
    <xf numFmtId="0" fontId="8" fillId="0" borderId="0" xfId="0" applyFont="1"/>
    <xf numFmtId="0" fontId="0" fillId="2" borderId="0" xfId="0" applyFill="1"/>
    <xf numFmtId="0" fontId="7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64" fontId="0" fillId="0" borderId="0" xfId="0" applyNumberFormat="1"/>
    <xf numFmtId="0" fontId="27" fillId="0" borderId="0" xfId="0" applyFont="1"/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vertical="top" wrapText="1"/>
    </xf>
    <xf numFmtId="0" fontId="7" fillId="34" borderId="0" xfId="0" applyFont="1" applyFill="1"/>
    <xf numFmtId="0" fontId="0" fillId="0" borderId="10" xfId="0" applyBorder="1"/>
    <xf numFmtId="0" fontId="7" fillId="34" borderId="10" xfId="0" applyFont="1" applyFill="1" applyBorder="1" applyAlignment="1">
      <alignment wrapText="1"/>
    </xf>
    <xf numFmtId="0" fontId="9" fillId="0" borderId="10" xfId="0" applyFont="1" applyBorder="1"/>
    <xf numFmtId="0" fontId="7" fillId="0" borderId="10" xfId="0" applyFont="1" applyBorder="1"/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0" fontId="7" fillId="35" borderId="10" xfId="0" applyFont="1" applyFill="1" applyBorder="1" applyAlignment="1">
      <alignment wrapText="1"/>
    </xf>
    <xf numFmtId="15" fontId="0" fillId="0" borderId="0" xfId="0" applyNumberFormat="1"/>
    <xf numFmtId="0" fontId="0" fillId="34" borderId="0" xfId="0" applyFill="1"/>
    <xf numFmtId="164" fontId="0" fillId="0" borderId="10" xfId="0" applyNumberFormat="1" applyBorder="1"/>
    <xf numFmtId="0" fontId="7" fillId="2" borderId="10" xfId="0" applyFont="1" applyFill="1" applyBorder="1"/>
    <xf numFmtId="0" fontId="0" fillId="2" borderId="10" xfId="0" applyFill="1" applyBorder="1"/>
    <xf numFmtId="164" fontId="0" fillId="2" borderId="10" xfId="0" applyNumberFormat="1" applyFill="1" applyBorder="1"/>
    <xf numFmtId="0" fontId="7" fillId="2" borderId="0" xfId="0" applyFont="1" applyFill="1"/>
    <xf numFmtId="0" fontId="5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2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2" fillId="37" borderId="11" xfId="0" applyFont="1" applyFill="1" applyBorder="1" applyAlignment="1">
      <alignment vertical="center" wrapText="1"/>
    </xf>
    <xf numFmtId="0" fontId="33" fillId="37" borderId="11" xfId="0" applyFont="1" applyFill="1" applyBorder="1" applyAlignment="1">
      <alignment vertical="center" wrapText="1"/>
    </xf>
    <xf numFmtId="17" fontId="0" fillId="0" borderId="0" xfId="0" applyNumberFormat="1"/>
    <xf numFmtId="0" fontId="33" fillId="36" borderId="11" xfId="0" applyFont="1" applyFill="1" applyBorder="1" applyAlignment="1">
      <alignment vertical="center" wrapText="1"/>
    </xf>
    <xf numFmtId="0" fontId="7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2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00000000-0005-0000-0000-000002000000}"/>
    <cellStyle name="Normal 2 2" xfId="43" xr:uid="{6965CD33-259F-4571-B0E7-0DE3B2FA05D4}"/>
    <cellStyle name="Normal 3" xfId="44" xr:uid="{851AD0A6-2023-45AF-A7DA-BB0506E2624A}"/>
    <cellStyle name="Note 2" xfId="45" xr:uid="{13503B89-B8C9-4306-9C41-E254C569653E}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  <colors>
    <mruColors>
      <color rgb="FFC7D3D3"/>
      <color rgb="FF9AAFAF"/>
      <color rgb="FFE4EAEA"/>
      <color rgb="FFC9B842"/>
      <color rgb="FF1F4D4D"/>
      <color rgb="FF577A7A"/>
      <color rgb="FFFF9900"/>
      <color rgb="FFF08E23"/>
      <color rgb="FF0000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alcChain" Target="calcChain.xml"/><Relationship Id="rId5" Type="http://schemas.openxmlformats.org/officeDocument/2006/relationships/chartsheet" Target="chartsheets/sheet2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'Pre Survey'!$C$23:$N$23</c:f>
              <c:numCache>
                <c:formatCode>mmm\-yy</c:formatCode>
                <c:ptCount val="12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</c:numCache>
            </c:numRef>
          </c:cat>
          <c:val>
            <c:numRef>
              <c:f>'Pre Survey'!$C$24:$N$24</c:f>
              <c:numCache>
                <c:formatCode>General</c:formatCode>
                <c:ptCount val="12"/>
                <c:pt idx="0">
                  <c:v>15.8</c:v>
                </c:pt>
                <c:pt idx="1">
                  <c:v>1.8</c:v>
                </c:pt>
                <c:pt idx="2">
                  <c:v>0.6</c:v>
                </c:pt>
                <c:pt idx="3">
                  <c:v>0.6</c:v>
                </c:pt>
                <c:pt idx="4">
                  <c:v>22.2</c:v>
                </c:pt>
                <c:pt idx="5">
                  <c:v>10.199999999999999</c:v>
                </c:pt>
                <c:pt idx="6">
                  <c:v>56.6</c:v>
                </c:pt>
                <c:pt idx="7">
                  <c:v>156.4</c:v>
                </c:pt>
                <c:pt idx="8">
                  <c:v>211.8</c:v>
                </c:pt>
                <c:pt idx="9">
                  <c:v>254.2</c:v>
                </c:pt>
                <c:pt idx="10">
                  <c:v>126</c:v>
                </c:pt>
                <c:pt idx="11">
                  <c:v>75.2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3-426D-B4E5-74E251221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1132975"/>
        <c:axId val="1361149775"/>
      </c:barChart>
      <c:dateAx>
        <c:axId val="136113297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149775"/>
        <c:crosses val="autoZero"/>
        <c:auto val="1"/>
        <c:lblOffset val="100"/>
        <c:baseTimeUnit val="months"/>
      </c:dateAx>
      <c:valAx>
        <c:axId val="136114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13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78259844579202"/>
          <c:y val="3.4828340868636967E-2"/>
          <c:w val="0.88984292027358325"/>
          <c:h val="0.77719904761904834"/>
        </c:manualLayout>
      </c:layout>
      <c:lineChart>
        <c:grouping val="standard"/>
        <c:varyColors val="0"/>
        <c:ser>
          <c:idx val="0"/>
          <c:order val="0"/>
          <c:tx>
            <c:strRef>
              <c:f>'BOM Data'!$A$13</c:f>
              <c:strCache>
                <c:ptCount val="1"/>
                <c:pt idx="0">
                  <c:v>LTA max temp (1996-2025)</c:v>
                </c:pt>
              </c:strCache>
            </c:strRef>
          </c:tx>
          <c:spPr>
            <a:ln w="25400">
              <a:solidFill>
                <a:srgbClr val="FF3300"/>
              </a:solidFill>
              <a:prstDash val="solid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'BOM Data'!$I$12:$M$12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'BOM Data'!$I$13:$M$13</c:f>
              <c:numCache>
                <c:formatCode>General</c:formatCode>
                <c:ptCount val="5"/>
                <c:pt idx="0">
                  <c:v>16.100000000000001</c:v>
                </c:pt>
                <c:pt idx="1">
                  <c:v>15.1</c:v>
                </c:pt>
                <c:pt idx="2">
                  <c:v>15.8</c:v>
                </c:pt>
                <c:pt idx="3">
                  <c:v>17.399999999999999</c:v>
                </c:pt>
                <c:pt idx="4">
                  <c:v>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C-4D33-952D-BDACCDC900B6}"/>
            </c:ext>
          </c:extLst>
        </c:ser>
        <c:ser>
          <c:idx val="1"/>
          <c:order val="1"/>
          <c:tx>
            <c:strRef>
              <c:f>'BOM Data'!$A$23</c:f>
              <c:strCache>
                <c:ptCount val="1"/>
                <c:pt idx="0">
                  <c:v>LTA min temp (1996-2025)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'BOM Data'!$I$12:$M$12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'BOM Data'!$I$23:$M$23</c:f>
              <c:numCache>
                <c:formatCode>General</c:formatCode>
                <c:ptCount val="5"/>
                <c:pt idx="0">
                  <c:v>6.5</c:v>
                </c:pt>
                <c:pt idx="1">
                  <c:v>5.6</c:v>
                </c:pt>
                <c:pt idx="2">
                  <c:v>5.5</c:v>
                </c:pt>
                <c:pt idx="3">
                  <c:v>6.5</c:v>
                </c:pt>
                <c:pt idx="4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6C-4D33-952D-BDACCDC90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39264"/>
        <c:axId val="128541440"/>
      </c:lineChart>
      <c:catAx>
        <c:axId val="128539264"/>
        <c:scaling>
          <c:orientation val="minMax"/>
        </c:scaling>
        <c:delete val="0"/>
        <c:axPos val="b"/>
        <c:numFmt formatCode="[$-C09]dd\-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128541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8541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r>
                  <a:rPr lang="en-AU" sz="1600">
                    <a:latin typeface="+mn-lt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8.0509948757462261E-3"/>
              <c:y val="0.3184780280557835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algn="ctr">
              <a:defRPr lang="en-AU" sz="1400" b="0" i="0" u="none" strike="noStrike" kern="1200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12853926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lang="en-AU" sz="1100" b="0" i="0" u="none" strike="noStrike" kern="1200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lang="en-AU" sz="1100" b="0" i="0" u="none" strike="noStrike" kern="1200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9.5745444059977022E-2"/>
          <c:y val="0.91248315333087593"/>
          <c:w val="0.88297681660899696"/>
          <c:h val="7.423263511549199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3EFD3"/>
    </a:solidFill>
    <a:ln w="9525">
      <a:noFill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319146482122239E-2"/>
          <c:y val="3.2794126984126995E-2"/>
          <c:w val="0.87363056516724336"/>
          <c:h val="0.74058619047619045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'BOM Data'!$A$36</c:f>
              <c:strCache>
                <c:ptCount val="1"/>
                <c:pt idx="0">
                  <c:v>LTA rainfall (1971–2025)</c:v>
                </c:pt>
              </c:strCache>
            </c:strRef>
          </c:tx>
          <c:spPr>
            <a:solidFill>
              <a:srgbClr val="0000FF">
                <a:alpha val="70000"/>
              </a:srgbClr>
            </a:solidFill>
            <a:ln w="0">
              <a:noFill/>
              <a:prstDash val="solid"/>
            </a:ln>
            <a:effectLst/>
            <a:scene3d>
              <a:camera prst="orthographicFront"/>
              <a:lightRig rig="threePt" dir="t"/>
            </a:scene3d>
            <a:sp3d prstMaterial="matte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'BOM Data'!$I$12:$M$12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'BOM Data'!$I$36:$M$36</c:f>
              <c:numCache>
                <c:formatCode>General</c:formatCode>
                <c:ptCount val="5"/>
                <c:pt idx="0">
                  <c:v>230.6</c:v>
                </c:pt>
                <c:pt idx="1">
                  <c:v>234.2</c:v>
                </c:pt>
                <c:pt idx="2">
                  <c:v>192.6</c:v>
                </c:pt>
                <c:pt idx="3">
                  <c:v>128.5</c:v>
                </c:pt>
                <c:pt idx="4">
                  <c:v>78.099999999999994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5-4F8F-A4A4-B4DC4E8D0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559360"/>
        <c:axId val="128573440"/>
      </c:barChart>
      <c:catAx>
        <c:axId val="128559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 algn="ctr">
              <a:defRPr lang="en-AU" sz="1400" b="0" i="0" u="none" strike="noStrike" kern="1200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12857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8573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r>
                  <a:rPr lang="en-AU" sz="1600">
                    <a:latin typeface="+mn-lt"/>
                  </a:rPr>
                  <a:t>Rainfall (mm)</a:t>
                </a:r>
              </a:p>
            </c:rich>
          </c:tx>
          <c:layout>
            <c:manualLayout>
              <c:xMode val="edge"/>
              <c:yMode val="edge"/>
              <c:x val="8.0509948757462261E-3"/>
              <c:y val="0.3184780280557835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algn="ctr">
              <a:defRPr lang="en-AU" sz="1400" b="0" i="0" u="none" strike="noStrike" kern="1200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12855936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7.607820069204152E-2"/>
          <c:y val="0.92963095238095261"/>
          <c:w val="0.88099261822376052"/>
          <c:h val="3.398807505801348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3EFD3"/>
    </a:solidFill>
    <a:ln w="9525">
      <a:noFill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319144786483707E-2"/>
          <c:y val="2.2275496854762419E-2"/>
          <c:w val="0.81014077981908805"/>
          <c:h val="0.73738144783657067"/>
        </c:manualLayout>
      </c:layout>
      <c:barChart>
        <c:barDir val="col"/>
        <c:grouping val="clustered"/>
        <c:varyColors val="0"/>
        <c:ser>
          <c:idx val="4"/>
          <c:order val="2"/>
          <c:tx>
            <c:strRef>
              <c:f>'BOM Data'!$A$36</c:f>
              <c:strCache>
                <c:ptCount val="1"/>
                <c:pt idx="0">
                  <c:v>LTA rainfall (1971–2025)</c:v>
                </c:pt>
              </c:strCache>
            </c:strRef>
          </c:tx>
          <c:spPr>
            <a:solidFill>
              <a:srgbClr val="577A7A">
                <a:alpha val="70000"/>
              </a:srgbClr>
            </a:solidFill>
            <a:ln w="0">
              <a:noFill/>
              <a:prstDash val="solid"/>
            </a:ln>
            <a:scene3d>
              <a:camera prst="orthographicFront"/>
              <a:lightRig rig="threePt" dir="t"/>
            </a:scene3d>
            <a:sp3d prstMaterial="matte"/>
          </c:spPr>
          <c:invertIfNegative val="0"/>
          <c:cat>
            <c:multiLvlStrRef>
              <c:f>'Pre Survey'!$C$2:$M$3</c:f>
              <c:multiLvlStrCache>
                <c:ptCount val="11"/>
                <c:lvl>
                  <c:pt idx="0">
                    <c:v>14.1</c:v>
                  </c:pt>
                  <c:pt idx="1">
                    <c:v>16.6</c:v>
                  </c:pt>
                  <c:pt idx="2">
                    <c:v>15.3</c:v>
                  </c:pt>
                  <c:pt idx="3">
                    <c:v>14.7</c:v>
                  </c:pt>
                  <c:pt idx="4">
                    <c:v>11.6</c:v>
                  </c:pt>
                  <c:pt idx="5">
                    <c:v>8.3</c:v>
                  </c:pt>
                  <c:pt idx="6">
                    <c:v>7.2</c:v>
                  </c:pt>
                  <c:pt idx="7">
                    <c:v>4.8</c:v>
                  </c:pt>
                  <c:pt idx="8">
                    <c:v>5.7</c:v>
                  </c:pt>
                  <c:pt idx="9">
                    <c:v>6.6</c:v>
                  </c:pt>
                  <c:pt idx="10">
                    <c:v>8.2</c:v>
                  </c:pt>
                </c:lvl>
                <c:lvl>
                  <c:pt idx="0">
                    <c:v>Dec-24</c:v>
                  </c:pt>
                  <c:pt idx="1">
                    <c:v>Jan-25</c:v>
                  </c:pt>
                  <c:pt idx="2">
                    <c:v>Feb-25</c:v>
                  </c:pt>
                  <c:pt idx="3">
                    <c:v>Mar-25</c:v>
                  </c:pt>
                  <c:pt idx="4">
                    <c:v>Apr-25</c:v>
                  </c:pt>
                  <c:pt idx="5">
                    <c:v>May-25</c:v>
                  </c:pt>
                  <c:pt idx="6">
                    <c:v>Jun-25</c:v>
                  </c:pt>
                  <c:pt idx="7">
                    <c:v>Jul-25</c:v>
                  </c:pt>
                  <c:pt idx="8">
                    <c:v>Aug-25</c:v>
                  </c:pt>
                  <c:pt idx="9">
                    <c:v>Sep-25</c:v>
                  </c:pt>
                  <c:pt idx="10">
                    <c:v>Oct-25</c:v>
                  </c:pt>
                </c:lvl>
              </c:multiLvlStrCache>
            </c:multiLvlStrRef>
          </c:cat>
          <c:val>
            <c:numRef>
              <c:f>'BOM Data'!$D$36:$M$36</c:f>
              <c:numCache>
                <c:formatCode>General</c:formatCode>
                <c:ptCount val="10"/>
                <c:pt idx="0">
                  <c:v>16.2</c:v>
                </c:pt>
                <c:pt idx="1">
                  <c:v>21.1</c:v>
                </c:pt>
                <c:pt idx="2">
                  <c:v>26.6</c:v>
                </c:pt>
                <c:pt idx="3">
                  <c:v>64.900000000000006</c:v>
                </c:pt>
                <c:pt idx="4">
                  <c:v>153.4</c:v>
                </c:pt>
                <c:pt idx="5">
                  <c:v>230.6</c:v>
                </c:pt>
                <c:pt idx="6">
                  <c:v>234.2</c:v>
                </c:pt>
                <c:pt idx="7">
                  <c:v>192.6</c:v>
                </c:pt>
                <c:pt idx="8">
                  <c:v>128.5</c:v>
                </c:pt>
                <c:pt idx="9">
                  <c:v>78.099999999999994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89-47C9-B151-49D6CAE91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1"/>
        <c:axId val="133905408"/>
        <c:axId val="133911296"/>
      </c:barChart>
      <c:lineChart>
        <c:grouping val="standard"/>
        <c:varyColors val="0"/>
        <c:ser>
          <c:idx val="0"/>
          <c:order val="0"/>
          <c:tx>
            <c:strRef>
              <c:f>'BOM Data'!$A$13</c:f>
              <c:strCache>
                <c:ptCount val="1"/>
                <c:pt idx="0">
                  <c:v>LTA max temp (1996-2025)</c:v>
                </c:pt>
              </c:strCache>
            </c:strRef>
          </c:tx>
          <c:spPr>
            <a:ln w="31750">
              <a:solidFill>
                <a:srgbClr val="1F4D4D"/>
              </a:solidFill>
              <a:prstDash val="solid"/>
            </a:ln>
            <a:effectLst/>
          </c:spPr>
          <c:marker>
            <c:symbol val="circle"/>
            <c:size val="5"/>
            <c:spPr>
              <a:solidFill>
                <a:srgbClr val="1F4D4D"/>
              </a:solidFill>
              <a:ln w="31750">
                <a:solidFill>
                  <a:srgbClr val="1F4D4D"/>
                </a:solidFill>
                <a:prstDash val="solid"/>
              </a:ln>
              <a:effectLst/>
            </c:spPr>
          </c:marker>
          <c:cat>
            <c:strRef>
              <c:f>'BOM Data'!$D$12:$M$12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</c:strCache>
            </c:strRef>
          </c:cat>
          <c:val>
            <c:numRef>
              <c:f>'BOM Data'!$D$13:$M$13</c:f>
              <c:numCache>
                <c:formatCode>General</c:formatCode>
                <c:ptCount val="10"/>
                <c:pt idx="0">
                  <c:v>29.9</c:v>
                </c:pt>
                <c:pt idx="1">
                  <c:v>29.8</c:v>
                </c:pt>
                <c:pt idx="2">
                  <c:v>27.1</c:v>
                </c:pt>
                <c:pt idx="3">
                  <c:v>22.6</c:v>
                </c:pt>
                <c:pt idx="4">
                  <c:v>18.600000000000001</c:v>
                </c:pt>
                <c:pt idx="5">
                  <c:v>16.100000000000001</c:v>
                </c:pt>
                <c:pt idx="6">
                  <c:v>15.1</c:v>
                </c:pt>
                <c:pt idx="7">
                  <c:v>15.8</c:v>
                </c:pt>
                <c:pt idx="8">
                  <c:v>17.399999999999999</c:v>
                </c:pt>
                <c:pt idx="9">
                  <c:v>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89-47C9-B151-49D6CAE91095}"/>
            </c:ext>
          </c:extLst>
        </c:ser>
        <c:ser>
          <c:idx val="1"/>
          <c:order val="1"/>
          <c:tx>
            <c:strRef>
              <c:f>'BOM Data'!$A$23</c:f>
              <c:strCache>
                <c:ptCount val="1"/>
                <c:pt idx="0">
                  <c:v>LTA min temp (1996-2025)</c:v>
                </c:pt>
              </c:strCache>
            </c:strRef>
          </c:tx>
          <c:spPr>
            <a:ln w="31750">
              <a:solidFill>
                <a:srgbClr val="C9B842"/>
              </a:solidFill>
            </a:ln>
            <a:effectLst/>
          </c:spPr>
          <c:marker>
            <c:symbol val="circle"/>
            <c:size val="5"/>
            <c:spPr>
              <a:solidFill>
                <a:srgbClr val="C9B842"/>
              </a:solidFill>
              <a:ln w="31750">
                <a:solidFill>
                  <a:srgbClr val="C9B842"/>
                </a:solidFill>
              </a:ln>
              <a:effectLst/>
            </c:spPr>
          </c:marker>
          <c:cat>
            <c:strRef>
              <c:f>'BOM Data'!$D$12:$M$12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</c:strCache>
            </c:strRef>
          </c:cat>
          <c:val>
            <c:numRef>
              <c:f>'BOM Data'!$D$23:$M$23</c:f>
              <c:numCache>
                <c:formatCode>General</c:formatCode>
                <c:ptCount val="10"/>
                <c:pt idx="0">
                  <c:v>14.4</c:v>
                </c:pt>
                <c:pt idx="1">
                  <c:v>14.7</c:v>
                </c:pt>
                <c:pt idx="2">
                  <c:v>13.1</c:v>
                </c:pt>
                <c:pt idx="3">
                  <c:v>10.4</c:v>
                </c:pt>
                <c:pt idx="4">
                  <c:v>7.8</c:v>
                </c:pt>
                <c:pt idx="5">
                  <c:v>6.5</c:v>
                </c:pt>
                <c:pt idx="6">
                  <c:v>5.6</c:v>
                </c:pt>
                <c:pt idx="7">
                  <c:v>5.5</c:v>
                </c:pt>
                <c:pt idx="8">
                  <c:v>6.5</c:v>
                </c:pt>
                <c:pt idx="9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89-47C9-B151-49D6CAE91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97216"/>
        <c:axId val="133903488"/>
      </c:lineChart>
      <c:catAx>
        <c:axId val="13389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33903488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33903488"/>
        <c:scaling>
          <c:orientation val="minMax"/>
        </c:scaling>
        <c:delete val="0"/>
        <c:axPos val="l"/>
        <c:majorGridlines>
          <c:spPr>
            <a:ln w="9525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en-AU" b="1"/>
                  <a:t>Temperature (°C)</a:t>
                </a:r>
              </a:p>
            </c:rich>
          </c:tx>
          <c:layout>
            <c:manualLayout>
              <c:xMode val="edge"/>
              <c:yMode val="edge"/>
              <c:x val="8.0510111772575822E-3"/>
              <c:y val="0.237641064761971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33897216"/>
        <c:crosses val="autoZero"/>
        <c:crossBetween val="between"/>
      </c:valAx>
      <c:catAx>
        <c:axId val="133905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33911296"/>
        <c:crosses val="autoZero"/>
        <c:auto val="1"/>
        <c:lblAlgn val="ctr"/>
        <c:lblOffset val="100"/>
        <c:noMultiLvlLbl val="0"/>
      </c:catAx>
      <c:valAx>
        <c:axId val="13391129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b="1"/>
                </a:pPr>
                <a:r>
                  <a:rPr lang="en-AU" b="1"/>
                  <a:t>Rainfall (mm)</a:t>
                </a:r>
              </a:p>
            </c:rich>
          </c:tx>
          <c:layout>
            <c:manualLayout>
              <c:xMode val="edge"/>
              <c:yMode val="edge"/>
              <c:x val="0.96100142426488244"/>
              <c:y val="0.273749060947360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33905408"/>
        <c:crosses val="max"/>
        <c:crossBetween val="between"/>
      </c:valAx>
      <c:spPr>
        <a:solidFill>
          <a:schemeClr val="bg1"/>
        </a:solidFill>
        <a:ln w="12700">
          <a:noFill/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84649283405735354"/>
          <c:w val="0.99906696442510878"/>
          <c:h val="8.141879316499231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Montserrat Medium" panose="00000600000000000000" pitchFamily="2" charset="0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787165908838874E-2"/>
          <c:y val="2.2275496854762419E-2"/>
          <c:w val="0.7969439669513142"/>
          <c:h val="0.69430105369110429"/>
        </c:manualLayout>
      </c:layout>
      <c:barChart>
        <c:barDir val="col"/>
        <c:grouping val="clustered"/>
        <c:varyColors val="0"/>
        <c:ser>
          <c:idx val="4"/>
          <c:order val="2"/>
          <c:tx>
            <c:strRef>
              <c:f>'BOM Data'!$A$36</c:f>
              <c:strCache>
                <c:ptCount val="1"/>
                <c:pt idx="0">
                  <c:v>LTA rainfall (1971–2025)</c:v>
                </c:pt>
              </c:strCache>
            </c:strRef>
          </c:tx>
          <c:spPr>
            <a:solidFill>
              <a:srgbClr val="577A7A">
                <a:alpha val="74902"/>
              </a:srgbClr>
            </a:solidFill>
            <a:ln w="0">
              <a:noFill/>
              <a:prstDash val="solid"/>
            </a:ln>
            <a:scene3d>
              <a:camera prst="orthographicFront"/>
              <a:lightRig rig="threePt" dir="t"/>
            </a:scene3d>
            <a:sp3d prstMaterial="matte"/>
          </c:spPr>
          <c:invertIfNegative val="0"/>
          <c:cat>
            <c:multiLvlStrRef>
              <c:f>'Pre Survey'!$C$2:$M$3</c:f>
              <c:multiLvlStrCache>
                <c:ptCount val="11"/>
                <c:lvl>
                  <c:pt idx="0">
                    <c:v>14.1</c:v>
                  </c:pt>
                  <c:pt idx="1">
                    <c:v>16.6</c:v>
                  </c:pt>
                  <c:pt idx="2">
                    <c:v>15.3</c:v>
                  </c:pt>
                  <c:pt idx="3">
                    <c:v>14.7</c:v>
                  </c:pt>
                  <c:pt idx="4">
                    <c:v>11.6</c:v>
                  </c:pt>
                  <c:pt idx="5">
                    <c:v>8.3</c:v>
                  </c:pt>
                  <c:pt idx="6">
                    <c:v>7.2</c:v>
                  </c:pt>
                  <c:pt idx="7">
                    <c:v>4.8</c:v>
                  </c:pt>
                  <c:pt idx="8">
                    <c:v>5.7</c:v>
                  </c:pt>
                  <c:pt idx="9">
                    <c:v>6.6</c:v>
                  </c:pt>
                  <c:pt idx="10">
                    <c:v>8.2</c:v>
                  </c:pt>
                </c:lvl>
                <c:lvl>
                  <c:pt idx="0">
                    <c:v>Dec-24</c:v>
                  </c:pt>
                  <c:pt idx="1">
                    <c:v>Jan-25</c:v>
                  </c:pt>
                  <c:pt idx="2">
                    <c:v>Feb-25</c:v>
                  </c:pt>
                  <c:pt idx="3">
                    <c:v>Mar-25</c:v>
                  </c:pt>
                  <c:pt idx="4">
                    <c:v>Apr-25</c:v>
                  </c:pt>
                  <c:pt idx="5">
                    <c:v>May-25</c:v>
                  </c:pt>
                  <c:pt idx="6">
                    <c:v>Jun-25</c:v>
                  </c:pt>
                  <c:pt idx="7">
                    <c:v>Jul-25</c:v>
                  </c:pt>
                  <c:pt idx="8">
                    <c:v>Aug-25</c:v>
                  </c:pt>
                  <c:pt idx="9">
                    <c:v>Sep-25</c:v>
                  </c:pt>
                  <c:pt idx="10">
                    <c:v>Oct-25</c:v>
                  </c:pt>
                </c:lvl>
              </c:multiLvlStrCache>
            </c:multiLvlStrRef>
          </c:cat>
          <c:val>
            <c:numRef>
              <c:f>'BOM Data'!$B$36:$M$36</c:f>
              <c:numCache>
                <c:formatCode>General</c:formatCode>
                <c:ptCount val="12"/>
                <c:pt idx="0">
                  <c:v>44.8</c:v>
                </c:pt>
                <c:pt idx="1">
                  <c:v>20</c:v>
                </c:pt>
                <c:pt idx="2">
                  <c:v>16.2</c:v>
                </c:pt>
                <c:pt idx="3">
                  <c:v>21.1</c:v>
                </c:pt>
                <c:pt idx="4">
                  <c:v>26.6</c:v>
                </c:pt>
                <c:pt idx="5">
                  <c:v>64.900000000000006</c:v>
                </c:pt>
                <c:pt idx="6">
                  <c:v>153.4</c:v>
                </c:pt>
                <c:pt idx="7">
                  <c:v>230.6</c:v>
                </c:pt>
                <c:pt idx="8">
                  <c:v>234.2</c:v>
                </c:pt>
                <c:pt idx="9">
                  <c:v>192.6</c:v>
                </c:pt>
                <c:pt idx="10">
                  <c:v>128.5</c:v>
                </c:pt>
                <c:pt idx="11">
                  <c:v>78.099999999999994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5-41B4-820D-970C50C3EEB8}"/>
            </c:ext>
          </c:extLst>
        </c:ser>
        <c:ser>
          <c:idx val="5"/>
          <c:order val="5"/>
          <c:tx>
            <c:strRef>
              <c:f>'Pre Survey'!$A$5</c:f>
              <c:strCache>
                <c:ptCount val="1"/>
                <c:pt idx="0">
                  <c:v>Total rainfall (Nov 2024-Oct 2025)</c:v>
                </c:pt>
              </c:strCache>
            </c:strRef>
          </c:tx>
          <c:spPr>
            <a:solidFill>
              <a:srgbClr val="C7D3D3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/>
          </c:spPr>
          <c:invertIfNegative val="0"/>
          <c:cat>
            <c:multiLvlStrRef>
              <c:f>'Pre Survey'!$C$2:$M$3</c:f>
              <c:multiLvlStrCache>
                <c:ptCount val="11"/>
                <c:lvl>
                  <c:pt idx="0">
                    <c:v>14.1</c:v>
                  </c:pt>
                  <c:pt idx="1">
                    <c:v>16.6</c:v>
                  </c:pt>
                  <c:pt idx="2">
                    <c:v>15.3</c:v>
                  </c:pt>
                  <c:pt idx="3">
                    <c:v>14.7</c:v>
                  </c:pt>
                  <c:pt idx="4">
                    <c:v>11.6</c:v>
                  </c:pt>
                  <c:pt idx="5">
                    <c:v>8.3</c:v>
                  </c:pt>
                  <c:pt idx="6">
                    <c:v>7.2</c:v>
                  </c:pt>
                  <c:pt idx="7">
                    <c:v>4.8</c:v>
                  </c:pt>
                  <c:pt idx="8">
                    <c:v>5.7</c:v>
                  </c:pt>
                  <c:pt idx="9">
                    <c:v>6.6</c:v>
                  </c:pt>
                  <c:pt idx="10">
                    <c:v>8.2</c:v>
                  </c:pt>
                </c:lvl>
                <c:lvl>
                  <c:pt idx="0">
                    <c:v>Dec-24</c:v>
                  </c:pt>
                  <c:pt idx="1">
                    <c:v>Jan-25</c:v>
                  </c:pt>
                  <c:pt idx="2">
                    <c:v>Feb-25</c:v>
                  </c:pt>
                  <c:pt idx="3">
                    <c:v>Mar-25</c:v>
                  </c:pt>
                  <c:pt idx="4">
                    <c:v>Apr-25</c:v>
                  </c:pt>
                  <c:pt idx="5">
                    <c:v>May-25</c:v>
                  </c:pt>
                  <c:pt idx="6">
                    <c:v>Jun-25</c:v>
                  </c:pt>
                  <c:pt idx="7">
                    <c:v>Jul-25</c:v>
                  </c:pt>
                  <c:pt idx="8">
                    <c:v>Aug-25</c:v>
                  </c:pt>
                  <c:pt idx="9">
                    <c:v>Sep-25</c:v>
                  </c:pt>
                  <c:pt idx="10">
                    <c:v>Oct-25</c:v>
                  </c:pt>
                </c:lvl>
              </c:multiLvlStrCache>
            </c:multiLvlStrRef>
          </c:cat>
          <c:val>
            <c:numRef>
              <c:f>'Pre Survey'!$B$5:$M$5</c:f>
              <c:numCache>
                <c:formatCode>General</c:formatCode>
                <c:ptCount val="12"/>
                <c:pt idx="0">
                  <c:v>15.8</c:v>
                </c:pt>
                <c:pt idx="1">
                  <c:v>1.8</c:v>
                </c:pt>
                <c:pt idx="2">
                  <c:v>0.6</c:v>
                </c:pt>
                <c:pt idx="3">
                  <c:v>0.6</c:v>
                </c:pt>
                <c:pt idx="4">
                  <c:v>22.2</c:v>
                </c:pt>
                <c:pt idx="5">
                  <c:v>10.199999999999999</c:v>
                </c:pt>
                <c:pt idx="6">
                  <c:v>56.6</c:v>
                </c:pt>
                <c:pt idx="7">
                  <c:v>156.4</c:v>
                </c:pt>
                <c:pt idx="8">
                  <c:v>211.8</c:v>
                </c:pt>
                <c:pt idx="9">
                  <c:v>254.2</c:v>
                </c:pt>
                <c:pt idx="10">
                  <c:v>126</c:v>
                </c:pt>
                <c:pt idx="11">
                  <c:v>75.2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F5-41B4-820D-970C50C3E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1"/>
        <c:axId val="134506752"/>
        <c:axId val="134512640"/>
      </c:barChart>
      <c:lineChart>
        <c:grouping val="standard"/>
        <c:varyColors val="0"/>
        <c:ser>
          <c:idx val="0"/>
          <c:order val="0"/>
          <c:tx>
            <c:strRef>
              <c:f>'BOM Data'!$A$13</c:f>
              <c:strCache>
                <c:ptCount val="1"/>
                <c:pt idx="0">
                  <c:v>LTA max temp (1996-2025)</c:v>
                </c:pt>
              </c:strCache>
            </c:strRef>
          </c:tx>
          <c:spPr>
            <a:ln w="19050">
              <a:solidFill>
                <a:srgbClr val="1F4D4D"/>
              </a:solidFill>
              <a:prstDash val="solid"/>
            </a:ln>
            <a:effectLst/>
          </c:spPr>
          <c:marker>
            <c:symbol val="circle"/>
            <c:size val="3"/>
            <c:spPr>
              <a:solidFill>
                <a:srgbClr val="1F4D4D"/>
              </a:solidFill>
              <a:ln w="31750">
                <a:solidFill>
                  <a:srgbClr val="1F4D4D"/>
                </a:solidFill>
                <a:prstDash val="solid"/>
              </a:ln>
              <a:effectLst/>
            </c:spPr>
          </c:marker>
          <c:cat>
            <c:numRef>
              <c:f>'Pre Survey'!$B$2:$M$2</c:f>
              <c:numCache>
                <c:formatCode>mmm\-yy</c:formatCode>
                <c:ptCount val="12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</c:numCache>
            </c:numRef>
          </c:cat>
          <c:val>
            <c:numRef>
              <c:f>'BOM Data'!$B$13:$M$13</c:f>
              <c:numCache>
                <c:formatCode>General</c:formatCode>
                <c:ptCount val="12"/>
                <c:pt idx="0">
                  <c:v>23.9</c:v>
                </c:pt>
                <c:pt idx="1">
                  <c:v>27.5</c:v>
                </c:pt>
                <c:pt idx="2">
                  <c:v>29.9</c:v>
                </c:pt>
                <c:pt idx="3">
                  <c:v>29.8</c:v>
                </c:pt>
                <c:pt idx="4">
                  <c:v>27.1</c:v>
                </c:pt>
                <c:pt idx="5">
                  <c:v>22.6</c:v>
                </c:pt>
                <c:pt idx="6">
                  <c:v>18.600000000000001</c:v>
                </c:pt>
                <c:pt idx="7">
                  <c:v>16.100000000000001</c:v>
                </c:pt>
                <c:pt idx="8">
                  <c:v>15.1</c:v>
                </c:pt>
                <c:pt idx="9">
                  <c:v>15.8</c:v>
                </c:pt>
                <c:pt idx="10">
                  <c:v>17.399999999999999</c:v>
                </c:pt>
                <c:pt idx="11">
                  <c:v>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F5-41B4-820D-970C50C3EEB8}"/>
            </c:ext>
          </c:extLst>
        </c:ser>
        <c:ser>
          <c:idx val="1"/>
          <c:order val="1"/>
          <c:tx>
            <c:strRef>
              <c:f>'BOM Data'!$A$23</c:f>
              <c:strCache>
                <c:ptCount val="1"/>
                <c:pt idx="0">
                  <c:v>LTA min temp (1996-2025)</c:v>
                </c:pt>
              </c:strCache>
            </c:strRef>
          </c:tx>
          <c:spPr>
            <a:ln w="19050">
              <a:solidFill>
                <a:srgbClr val="C9B842"/>
              </a:solidFill>
            </a:ln>
            <a:effectLst/>
          </c:spPr>
          <c:marker>
            <c:symbol val="circle"/>
            <c:size val="3"/>
            <c:spPr>
              <a:solidFill>
                <a:srgbClr val="C9B842"/>
              </a:solidFill>
              <a:ln w="31750" cap="rnd">
                <a:solidFill>
                  <a:srgbClr val="C9B842"/>
                </a:solidFill>
              </a:ln>
              <a:effectLst/>
            </c:spPr>
          </c:marker>
          <c:cat>
            <c:numRef>
              <c:f>'Pre Survey'!$B$2:$M$2</c:f>
              <c:numCache>
                <c:formatCode>mmm\-yy</c:formatCode>
                <c:ptCount val="12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</c:numCache>
            </c:numRef>
          </c:cat>
          <c:val>
            <c:numRef>
              <c:f>'BOM Data'!$B$23:$M$23</c:f>
              <c:numCache>
                <c:formatCode>General</c:formatCode>
                <c:ptCount val="12"/>
                <c:pt idx="0">
                  <c:v>10.5</c:v>
                </c:pt>
                <c:pt idx="1">
                  <c:v>12.7</c:v>
                </c:pt>
                <c:pt idx="2">
                  <c:v>14.4</c:v>
                </c:pt>
                <c:pt idx="3">
                  <c:v>14.7</c:v>
                </c:pt>
                <c:pt idx="4">
                  <c:v>13.1</c:v>
                </c:pt>
                <c:pt idx="5">
                  <c:v>10.4</c:v>
                </c:pt>
                <c:pt idx="6">
                  <c:v>7.8</c:v>
                </c:pt>
                <c:pt idx="7">
                  <c:v>6.5</c:v>
                </c:pt>
                <c:pt idx="8">
                  <c:v>5.6</c:v>
                </c:pt>
                <c:pt idx="9">
                  <c:v>5.5</c:v>
                </c:pt>
                <c:pt idx="10">
                  <c:v>6.5</c:v>
                </c:pt>
                <c:pt idx="11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BF5-41B4-820D-970C50C3EEB8}"/>
            </c:ext>
          </c:extLst>
        </c:ser>
        <c:ser>
          <c:idx val="3"/>
          <c:order val="3"/>
          <c:tx>
            <c:strRef>
              <c:f>'Pre Survey'!$A$4</c:f>
              <c:strCache>
                <c:ptCount val="1"/>
                <c:pt idx="0">
                  <c:v>Mean max temp (Nov 2024-Oct 2025)</c:v>
                </c:pt>
              </c:strCache>
            </c:strRef>
          </c:tx>
          <c:spPr>
            <a:ln w="19050">
              <a:solidFill>
                <a:srgbClr val="1F4D4D">
                  <a:alpha val="75000"/>
                </a:srgbClr>
              </a:solidFill>
              <a:prstDash val="sysDash"/>
            </a:ln>
            <a:effectLst/>
          </c:spPr>
          <c:marker>
            <c:symbol val="circle"/>
            <c:size val="2"/>
            <c:spPr>
              <a:solidFill>
                <a:srgbClr val="1F4D4D">
                  <a:alpha val="75000"/>
                </a:srgbClr>
              </a:solidFill>
              <a:ln w="31750">
                <a:solidFill>
                  <a:srgbClr val="1F4D4D">
                    <a:alpha val="75000"/>
                  </a:srgbClr>
                </a:solidFill>
              </a:ln>
              <a:effectLst/>
            </c:spPr>
          </c:marker>
          <c:cat>
            <c:numRef>
              <c:f>'Pre Survey'!$B$2:$M$2</c:f>
              <c:numCache>
                <c:formatCode>mmm\-yy</c:formatCode>
                <c:ptCount val="12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</c:numCache>
            </c:numRef>
          </c:cat>
          <c:val>
            <c:numRef>
              <c:f>'Pre Survey'!$B$4:$M$4</c:f>
              <c:numCache>
                <c:formatCode>General</c:formatCode>
                <c:ptCount val="12"/>
                <c:pt idx="0">
                  <c:v>25.2</c:v>
                </c:pt>
                <c:pt idx="1">
                  <c:v>30.2</c:v>
                </c:pt>
                <c:pt idx="2">
                  <c:v>32.4</c:v>
                </c:pt>
                <c:pt idx="3">
                  <c:v>30.6</c:v>
                </c:pt>
                <c:pt idx="4">
                  <c:v>30.5</c:v>
                </c:pt>
                <c:pt idx="5">
                  <c:v>24.9</c:v>
                </c:pt>
                <c:pt idx="6">
                  <c:v>21.7</c:v>
                </c:pt>
                <c:pt idx="7">
                  <c:v>17.7</c:v>
                </c:pt>
                <c:pt idx="8">
                  <c:v>15</c:v>
                </c:pt>
                <c:pt idx="9">
                  <c:v>16.5</c:v>
                </c:pt>
                <c:pt idx="10">
                  <c:v>18.7</c:v>
                </c:pt>
                <c:pt idx="11">
                  <c:v>20.3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F5-41B4-820D-970C50C3EEB8}"/>
            </c:ext>
          </c:extLst>
        </c:ser>
        <c:ser>
          <c:idx val="2"/>
          <c:order val="4"/>
          <c:tx>
            <c:strRef>
              <c:f>'Pre Survey'!$A$3</c:f>
              <c:strCache>
                <c:ptCount val="1"/>
                <c:pt idx="0">
                  <c:v>Mean min temp (Nov 2024-Oct 2025)</c:v>
                </c:pt>
              </c:strCache>
            </c:strRef>
          </c:tx>
          <c:spPr>
            <a:ln w="19050">
              <a:solidFill>
                <a:srgbClr val="C9B842">
                  <a:alpha val="75000"/>
                </a:srgbClr>
              </a:solidFill>
              <a:prstDash val="sysDash"/>
            </a:ln>
            <a:effectLst/>
          </c:spPr>
          <c:marker>
            <c:symbol val="circle"/>
            <c:size val="3"/>
            <c:spPr>
              <a:solidFill>
                <a:srgbClr val="C9B842">
                  <a:alpha val="75000"/>
                </a:srgbClr>
              </a:solidFill>
              <a:ln w="31750">
                <a:solidFill>
                  <a:srgbClr val="C9B842">
                    <a:alpha val="75000"/>
                  </a:srgbClr>
                </a:solidFill>
              </a:ln>
              <a:effectLst/>
            </c:spPr>
          </c:marker>
          <c:cat>
            <c:numRef>
              <c:f>'Pre Survey'!$B$2:$M$2</c:f>
              <c:numCache>
                <c:formatCode>mmm\-yy</c:formatCode>
                <c:ptCount val="12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</c:numCache>
            </c:numRef>
          </c:cat>
          <c:val>
            <c:numRef>
              <c:f>'Pre Survey'!$B$3:$M$3</c:f>
              <c:numCache>
                <c:formatCode>General</c:formatCode>
                <c:ptCount val="12"/>
                <c:pt idx="0">
                  <c:v>11.3</c:v>
                </c:pt>
                <c:pt idx="1">
                  <c:v>14.1</c:v>
                </c:pt>
                <c:pt idx="2">
                  <c:v>16.600000000000001</c:v>
                </c:pt>
                <c:pt idx="3">
                  <c:v>15.3</c:v>
                </c:pt>
                <c:pt idx="4">
                  <c:v>14.7</c:v>
                </c:pt>
                <c:pt idx="5">
                  <c:v>11.6</c:v>
                </c:pt>
                <c:pt idx="6">
                  <c:v>8.3000000000000007</c:v>
                </c:pt>
                <c:pt idx="7">
                  <c:v>7.2</c:v>
                </c:pt>
                <c:pt idx="8">
                  <c:v>4.8</c:v>
                </c:pt>
                <c:pt idx="9">
                  <c:v>5.7</c:v>
                </c:pt>
                <c:pt idx="10">
                  <c:v>6.6</c:v>
                </c:pt>
                <c:pt idx="11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BF5-41B4-820D-970C50C3E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486272"/>
        <c:axId val="134504832"/>
      </c:lineChart>
      <c:dateAx>
        <c:axId val="1344862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-2700000" vert="horz"/>
          <a:lstStyle/>
          <a:p>
            <a:pPr algn="ctr" rtl="0">
              <a:defRPr sz="1400"/>
            </a:pPr>
            <a:endParaRPr lang="en-US"/>
          </a:p>
        </c:txPr>
        <c:crossAx val="134504832"/>
        <c:crosses val="autoZero"/>
        <c:auto val="1"/>
        <c:lblOffset val="100"/>
        <c:baseTimeUnit val="months"/>
        <c:majorUnit val="1"/>
        <c:minorUnit val="1"/>
      </c:dateAx>
      <c:valAx>
        <c:axId val="134504832"/>
        <c:scaling>
          <c:orientation val="minMax"/>
        </c:scaling>
        <c:delete val="0"/>
        <c:axPos val="l"/>
        <c:majorGridlines>
          <c:spPr>
            <a:ln w="9525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 algn="ctr" rtl="0">
                  <a:defRPr b="1"/>
                </a:pPr>
                <a:r>
                  <a:rPr lang="en-AU" b="1"/>
                  <a:t>Temperature (°C)</a:t>
                </a:r>
              </a:p>
            </c:rich>
          </c:tx>
          <c:layout>
            <c:manualLayout>
              <c:xMode val="edge"/>
              <c:yMode val="edge"/>
              <c:x val="6.5838601160770399E-3"/>
              <c:y val="0.2213905983232678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34486272"/>
        <c:crosses val="autoZero"/>
        <c:crossBetween val="between"/>
      </c:valAx>
      <c:catAx>
        <c:axId val="134506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34512640"/>
        <c:crosses val="autoZero"/>
        <c:auto val="1"/>
        <c:lblAlgn val="ctr"/>
        <c:lblOffset val="100"/>
        <c:noMultiLvlLbl val="0"/>
      </c:catAx>
      <c:valAx>
        <c:axId val="13451264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b="1"/>
                </a:pPr>
                <a:r>
                  <a:rPr lang="en-AU" b="1"/>
                  <a:t>Rainfall (mm)</a:t>
                </a:r>
              </a:p>
            </c:rich>
          </c:tx>
          <c:layout>
            <c:manualLayout>
              <c:xMode val="edge"/>
              <c:yMode val="edge"/>
              <c:x val="0.95936032863849752"/>
              <c:y val="0.25386295008026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3450675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9956159767699455E-3"/>
          <c:y val="0.8221179365205652"/>
          <c:w val="0.9877713362752738"/>
          <c:h val="0.1574153348271626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Montserrat Medium" panose="00000600000000000000" pitchFamily="2" charset="0"/>
          <a:ea typeface="Arial"/>
          <a:cs typeface="Arial"/>
        </a:defRPr>
      </a:pPr>
      <a:endParaRPr lang="en-US"/>
    </a:p>
  </c:txPr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>
    <tabColor rgb="FF92D050"/>
  </sheetPr>
  <sheetViews>
    <sheetView zoomScale="85" workbookViewId="0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92D050"/>
  </sheetPr>
  <sheetViews>
    <sheetView tabSelected="1"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52916</xdr:colOff>
      <xdr:row>30</xdr:row>
      <xdr:rowOff>52918</xdr:rowOff>
    </xdr:from>
    <xdr:to>
      <xdr:col>2</xdr:col>
      <xdr:colOff>3164411</xdr:colOff>
      <xdr:row>38</xdr:row>
      <xdr:rowOff>42334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FA4619-405A-57C0-8728-CE70CC34D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1583" y="8784168"/>
          <a:ext cx="3111495" cy="1746249"/>
        </a:xfrm>
        <a:prstGeom prst="rect">
          <a:avLst/>
        </a:prstGeom>
      </xdr:spPr>
    </xdr:pic>
    <xdr:clientData/>
  </xdr:twoCellAnchor>
  <xdr:twoCellAnchor editAs="oneCell">
    <xdr:from>
      <xdr:col>2</xdr:col>
      <xdr:colOff>21166</xdr:colOff>
      <xdr:row>3</xdr:row>
      <xdr:rowOff>671637</xdr:rowOff>
    </xdr:from>
    <xdr:to>
      <xdr:col>2</xdr:col>
      <xdr:colOff>3725334</xdr:colOff>
      <xdr:row>12</xdr:row>
      <xdr:rowOff>136594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7A21E1-E0D5-9045-3F03-6BEF5AABF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85249" y="1010304"/>
          <a:ext cx="3704168" cy="2830457"/>
        </a:xfrm>
        <a:prstGeom prst="rect">
          <a:avLst/>
        </a:prstGeom>
      </xdr:spPr>
    </xdr:pic>
    <xdr:clientData/>
  </xdr:twoCellAnchor>
  <xdr:twoCellAnchor editAs="oneCell">
    <xdr:from>
      <xdr:col>2</xdr:col>
      <xdr:colOff>4339166</xdr:colOff>
      <xdr:row>3</xdr:row>
      <xdr:rowOff>635000</xdr:rowOff>
    </xdr:from>
    <xdr:to>
      <xdr:col>2</xdr:col>
      <xdr:colOff>6032499</xdr:colOff>
      <xdr:row>12</xdr:row>
      <xdr:rowOff>128374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2E220A-9C63-4DAC-4B48-BFBC425F7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03249" y="973667"/>
          <a:ext cx="1693333" cy="2858874"/>
        </a:xfrm>
        <a:prstGeom prst="rect">
          <a:avLst/>
        </a:prstGeom>
      </xdr:spPr>
    </xdr:pic>
    <xdr:clientData/>
  </xdr:twoCellAnchor>
  <xdr:twoCellAnchor editAs="oneCell">
    <xdr:from>
      <xdr:col>2</xdr:col>
      <xdr:colOff>6487584</xdr:colOff>
      <xdr:row>23</xdr:row>
      <xdr:rowOff>31750</xdr:rowOff>
    </xdr:from>
    <xdr:to>
      <xdr:col>2</xdr:col>
      <xdr:colOff>8699500</xdr:colOff>
      <xdr:row>24</xdr:row>
      <xdr:rowOff>261532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D064DD-0709-43A8-8795-F64B9997F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16251" y="6678083"/>
          <a:ext cx="2211916" cy="716616"/>
        </a:xfrm>
        <a:prstGeom prst="rect">
          <a:avLst/>
        </a:prstGeom>
      </xdr:spPr>
    </xdr:pic>
    <xdr:clientData/>
  </xdr:twoCellAnchor>
  <xdr:twoCellAnchor editAs="oneCell">
    <xdr:from>
      <xdr:col>1</xdr:col>
      <xdr:colOff>3249085</xdr:colOff>
      <xdr:row>23</xdr:row>
      <xdr:rowOff>42334</xdr:rowOff>
    </xdr:from>
    <xdr:to>
      <xdr:col>1</xdr:col>
      <xdr:colOff>4942418</xdr:colOff>
      <xdr:row>23</xdr:row>
      <xdr:rowOff>458314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7963568-2CCD-1AB9-7781-B7B269738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62918" y="6688667"/>
          <a:ext cx="1693333" cy="415980"/>
        </a:xfrm>
        <a:prstGeom prst="rect">
          <a:avLst/>
        </a:prstGeom>
      </xdr:spPr>
    </xdr:pic>
    <xdr:clientData/>
  </xdr:twoCellAnchor>
  <xdr:twoCellAnchor editAs="oneCell">
    <xdr:from>
      <xdr:col>2</xdr:col>
      <xdr:colOff>4053417</xdr:colOff>
      <xdr:row>30</xdr:row>
      <xdr:rowOff>74084</xdr:rowOff>
    </xdr:from>
    <xdr:to>
      <xdr:col>2</xdr:col>
      <xdr:colOff>7053417</xdr:colOff>
      <xdr:row>36</xdr:row>
      <xdr:rowOff>63322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4883104-D58A-F2D6-FF9C-410BB9D70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82084" y="8805334"/>
          <a:ext cx="3000000" cy="14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4</xdr:row>
      <xdr:rowOff>169545</xdr:rowOff>
    </xdr:from>
    <xdr:to>
      <xdr:col>22</xdr:col>
      <xdr:colOff>139065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5066D-F8DB-16E8-DDC1-20C6138B5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11606893" cy="757917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0.84461</cdr:x>
      <cdr:y>0.01879</cdr:y>
    </cdr:from>
    <cdr:to>
      <cdr:x>0.87901</cdr:x>
      <cdr:y>0.71348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8956546-ABF5-465D-993D-491FFB8CEE89}"/>
            </a:ext>
          </a:extLst>
        </cdr:cNvPr>
        <cdr:cNvSpPr/>
      </cdr:nvSpPr>
      <cdr:spPr>
        <a:xfrm xmlns:a="http://schemas.openxmlformats.org/drawingml/2006/main">
          <a:off x="9134900" y="147441"/>
          <a:ext cx="372052" cy="5450068"/>
        </a:xfrm>
        <a:prstGeom xmlns:a="http://schemas.openxmlformats.org/drawingml/2006/main" prst="rect">
          <a:avLst/>
        </a:prstGeom>
        <a:solidFill xmlns:a="http://schemas.openxmlformats.org/drawingml/2006/main">
          <a:srgbClr val="92D050">
            <a:alpha val="60000"/>
          </a:srgbClr>
        </a:solidFill>
        <a:ln xmlns:a="http://schemas.openxmlformats.org/drawingml/2006/main">
          <a:solidFill>
            <a:schemeClr val="accent3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reg.bom.gov.au/climate/data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zoomScale="90" zoomScaleNormal="90" workbookViewId="0">
      <selection activeCell="B8" sqref="B8"/>
    </sheetView>
  </sheetViews>
  <sheetFormatPr defaultRowHeight="13.2" x14ac:dyDescent="0.25"/>
  <cols>
    <col min="2" max="2" width="129.109375" customWidth="1"/>
    <col min="3" max="3" width="131.44140625" customWidth="1"/>
  </cols>
  <sheetData>
    <row r="1" spans="1:10" x14ac:dyDescent="0.25">
      <c r="A1" s="41" t="s">
        <v>0</v>
      </c>
      <c r="B1" s="41"/>
    </row>
    <row r="2" spans="1:10" x14ac:dyDescent="0.25">
      <c r="A2" s="42" t="s">
        <v>1</v>
      </c>
      <c r="B2" s="42"/>
    </row>
    <row r="3" spans="1:10" s="19" customFormat="1" ht="14.25" customHeight="1" x14ac:dyDescent="0.25">
      <c r="A3" s="30">
        <v>1</v>
      </c>
      <c r="B3" s="31" t="s">
        <v>2</v>
      </c>
      <c r="C3" s="33" t="s">
        <v>3</v>
      </c>
    </row>
    <row r="4" spans="1:10" s="19" customFormat="1" ht="92.4" x14ac:dyDescent="0.25">
      <c r="A4" s="30"/>
      <c r="B4" s="32" t="s">
        <v>4</v>
      </c>
      <c r="C4" s="34" t="s">
        <v>5</v>
      </c>
    </row>
    <row r="5" spans="1:10" x14ac:dyDescent="0.25">
      <c r="A5" s="43" t="s">
        <v>6</v>
      </c>
      <c r="B5" s="43"/>
      <c r="C5" s="30"/>
    </row>
    <row r="6" spans="1:10" ht="15.6" x14ac:dyDescent="0.3">
      <c r="A6" s="30">
        <v>2</v>
      </c>
      <c r="B6" s="30" t="s">
        <v>2</v>
      </c>
      <c r="C6" s="33"/>
      <c r="D6" s="1"/>
      <c r="E6" s="1"/>
      <c r="F6" s="2"/>
      <c r="G6" s="1"/>
      <c r="H6" s="1"/>
      <c r="I6" s="1"/>
      <c r="J6" s="1"/>
    </row>
    <row r="7" spans="1:10" ht="15.6" x14ac:dyDescent="0.3">
      <c r="A7" s="31">
        <v>3</v>
      </c>
      <c r="B7" s="32" t="s">
        <v>7</v>
      </c>
      <c r="D7" s="1"/>
      <c r="E7" s="1"/>
      <c r="F7" s="2"/>
      <c r="G7" s="1"/>
      <c r="H7" s="1"/>
      <c r="I7" s="1"/>
      <c r="J7" s="1"/>
    </row>
    <row r="8" spans="1:10" ht="26.4" x14ac:dyDescent="0.3">
      <c r="A8" s="31"/>
      <c r="B8" s="32" t="s">
        <v>8</v>
      </c>
      <c r="C8" s="34"/>
      <c r="D8" s="1"/>
      <c r="E8" s="1"/>
      <c r="F8" s="1"/>
      <c r="G8" s="1"/>
      <c r="H8" s="1"/>
      <c r="I8" s="1"/>
      <c r="J8" s="1"/>
    </row>
    <row r="9" spans="1:10" ht="54.75" customHeight="1" x14ac:dyDescent="0.3">
      <c r="A9" s="31"/>
      <c r="B9" s="32" t="s">
        <v>9</v>
      </c>
      <c r="C9" s="34"/>
      <c r="D9" s="1"/>
      <c r="E9" s="1"/>
      <c r="F9" s="1"/>
      <c r="G9" s="1"/>
      <c r="H9" s="1"/>
      <c r="I9" s="1"/>
      <c r="J9" s="1"/>
    </row>
    <row r="10" spans="1:10" x14ac:dyDescent="0.25">
      <c r="A10" s="30"/>
      <c r="B10" s="31" t="s">
        <v>10</v>
      </c>
      <c r="C10" s="30"/>
    </row>
    <row r="11" spans="1:10" x14ac:dyDescent="0.25">
      <c r="A11" s="19">
        <v>4</v>
      </c>
      <c r="B11" s="31" t="s">
        <v>11</v>
      </c>
      <c r="C11" s="30"/>
    </row>
    <row r="12" spans="1:10" x14ac:dyDescent="0.25">
      <c r="A12" s="30">
        <v>5</v>
      </c>
      <c r="B12" s="30" t="s">
        <v>12</v>
      </c>
      <c r="C12" s="30"/>
    </row>
    <row r="13" spans="1:10" x14ac:dyDescent="0.25">
      <c r="A13" s="30">
        <v>6</v>
      </c>
      <c r="B13" s="32" t="s">
        <v>13</v>
      </c>
      <c r="C13" s="30"/>
    </row>
    <row r="14" spans="1:10" x14ac:dyDescent="0.25">
      <c r="A14" s="30"/>
      <c r="B14" s="32" t="s">
        <v>14</v>
      </c>
      <c r="C14" s="30"/>
    </row>
    <row r="15" spans="1:10" x14ac:dyDescent="0.25">
      <c r="A15" s="30"/>
      <c r="B15" s="32" t="s">
        <v>15</v>
      </c>
      <c r="C15" s="30"/>
    </row>
    <row r="16" spans="1:10" x14ac:dyDescent="0.25">
      <c r="A16" s="30"/>
      <c r="B16" s="32" t="s">
        <v>16</v>
      </c>
      <c r="C16" s="30"/>
    </row>
    <row r="17" spans="1:10" x14ac:dyDescent="0.25">
      <c r="A17" s="30"/>
      <c r="B17" s="32" t="s">
        <v>17</v>
      </c>
      <c r="C17" s="30"/>
    </row>
    <row r="18" spans="1:10" ht="26.4" x14ac:dyDescent="0.25">
      <c r="A18" s="30"/>
      <c r="B18" s="32" t="s">
        <v>18</v>
      </c>
      <c r="C18" s="30"/>
    </row>
    <row r="19" spans="1:10" ht="66" x14ac:dyDescent="0.25">
      <c r="A19" s="19">
        <v>7</v>
      </c>
      <c r="B19" s="32" t="s">
        <v>19</v>
      </c>
      <c r="C19" s="30"/>
    </row>
    <row r="20" spans="1:10" x14ac:dyDescent="0.25">
      <c r="A20" s="43" t="s">
        <v>20</v>
      </c>
      <c r="B20" s="43"/>
      <c r="C20" s="30"/>
    </row>
    <row r="21" spans="1:10" ht="27.75" customHeight="1" x14ac:dyDescent="0.25">
      <c r="A21" s="19">
        <v>8</v>
      </c>
      <c r="B21" s="44" t="s">
        <v>21</v>
      </c>
      <c r="C21" s="45"/>
    </row>
    <row r="22" spans="1:10" s="19" customFormat="1" ht="13.5" customHeight="1" x14ac:dyDescent="0.25">
      <c r="A22" s="35"/>
      <c r="B22" s="32" t="s">
        <v>22</v>
      </c>
      <c r="C22" s="33" t="s">
        <v>3</v>
      </c>
    </row>
    <row r="23" spans="1:10" ht="25.5" customHeight="1" x14ac:dyDescent="0.25">
      <c r="A23" s="35"/>
      <c r="B23" s="44" t="s">
        <v>23</v>
      </c>
      <c r="C23" s="44"/>
    </row>
    <row r="24" spans="1:10" ht="39.6" x14ac:dyDescent="0.25">
      <c r="A24" s="3"/>
      <c r="B24" s="13" t="s">
        <v>24</v>
      </c>
      <c r="C24" s="6" t="s">
        <v>25</v>
      </c>
    </row>
    <row r="25" spans="1:10" ht="50.25" customHeight="1" x14ac:dyDescent="0.25">
      <c r="A25" s="3"/>
      <c r="B25" s="6" t="s">
        <v>26</v>
      </c>
      <c r="C25" s="6" t="s">
        <v>26</v>
      </c>
    </row>
    <row r="26" spans="1:10" x14ac:dyDescent="0.25">
      <c r="A26" s="3"/>
      <c r="B26" s="6" t="s">
        <v>27</v>
      </c>
      <c r="C26" s="6" t="s">
        <v>28</v>
      </c>
    </row>
    <row r="27" spans="1:10" ht="15.6" x14ac:dyDescent="0.3">
      <c r="A27" s="8"/>
      <c r="B27" s="40" t="s">
        <v>29</v>
      </c>
      <c r="C27" s="3" t="s">
        <v>29</v>
      </c>
      <c r="D27" s="1"/>
      <c r="E27" s="1"/>
      <c r="F27" s="1"/>
      <c r="G27" s="1"/>
      <c r="H27" s="1"/>
      <c r="I27" s="1"/>
      <c r="J27" s="1"/>
    </row>
    <row r="28" spans="1:10" ht="15.6" x14ac:dyDescent="0.3">
      <c r="A28" s="8"/>
      <c r="B28" s="40"/>
      <c r="C28" s="6" t="s">
        <v>30</v>
      </c>
      <c r="D28" s="1"/>
      <c r="E28" s="1"/>
      <c r="F28" s="1"/>
      <c r="G28" s="1"/>
      <c r="H28" s="1"/>
      <c r="I28" s="1"/>
      <c r="J28" s="1"/>
    </row>
    <row r="29" spans="1:10" ht="15.6" x14ac:dyDescent="0.3">
      <c r="A29" s="3">
        <v>9</v>
      </c>
      <c r="B29" s="7" t="s">
        <v>31</v>
      </c>
      <c r="C29" s="1"/>
      <c r="D29" s="1"/>
      <c r="E29" s="1"/>
      <c r="F29" s="1"/>
      <c r="G29" s="1"/>
      <c r="H29" s="1"/>
      <c r="I29" s="1"/>
      <c r="J29" s="1"/>
    </row>
    <row r="30" spans="1:10" ht="15.6" x14ac:dyDescent="0.3">
      <c r="A30" s="3"/>
      <c r="B30" s="9" t="s">
        <v>32</v>
      </c>
      <c r="C30" s="4" t="s">
        <v>33</v>
      </c>
    </row>
    <row r="31" spans="1:10" x14ac:dyDescent="0.25">
      <c r="A31" s="3"/>
      <c r="B31" s="7" t="s">
        <v>34</v>
      </c>
    </row>
    <row r="32" spans="1:10" ht="52.8" x14ac:dyDescent="0.25">
      <c r="A32" s="20">
        <v>10</v>
      </c>
      <c r="B32" s="6" t="s">
        <v>35</v>
      </c>
    </row>
    <row r="33" spans="1:2" x14ac:dyDescent="0.25">
      <c r="A33" s="3">
        <v>11</v>
      </c>
      <c r="B33" s="6" t="s">
        <v>36</v>
      </c>
    </row>
    <row r="34" spans="1:2" x14ac:dyDescent="0.25">
      <c r="A34" s="3">
        <v>12</v>
      </c>
      <c r="B34" s="3" t="s">
        <v>37</v>
      </c>
    </row>
    <row r="35" spans="1:2" x14ac:dyDescent="0.25">
      <c r="A35" s="3">
        <v>13</v>
      </c>
      <c r="B35" s="3" t="s">
        <v>38</v>
      </c>
    </row>
    <row r="36" spans="1:2" x14ac:dyDescent="0.25">
      <c r="A36" s="3">
        <v>14</v>
      </c>
      <c r="B36" s="3" t="s">
        <v>39</v>
      </c>
    </row>
  </sheetData>
  <mergeCells count="7">
    <mergeCell ref="B27:B28"/>
    <mergeCell ref="A1:B1"/>
    <mergeCell ref="A2:B2"/>
    <mergeCell ref="A5:B5"/>
    <mergeCell ref="B23:C23"/>
    <mergeCell ref="B21:C21"/>
    <mergeCell ref="A20:B20"/>
  </mergeCells>
  <hyperlinks>
    <hyperlink ref="C3" r:id="rId1" xr:uid="{3B03FA06-FFA6-4EA1-B3D3-1068A9EE552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79998168889431442"/>
  </sheetPr>
  <dimension ref="A1:KR69"/>
  <sheetViews>
    <sheetView topLeftCell="A28" zoomScale="90" zoomScaleNormal="90" workbookViewId="0">
      <selection activeCell="B25" sqref="B25"/>
    </sheetView>
  </sheetViews>
  <sheetFormatPr defaultRowHeight="13.2" x14ac:dyDescent="0.25"/>
  <cols>
    <col min="1" max="1" width="71" bestFit="1" customWidth="1"/>
    <col min="2" max="2" width="10.109375" bestFit="1" customWidth="1"/>
    <col min="3" max="3" width="10.6640625" bestFit="1" customWidth="1"/>
    <col min="4" max="4" width="9.6640625" bestFit="1" customWidth="1"/>
    <col min="5" max="5" width="10.109375" bestFit="1" customWidth="1"/>
    <col min="6" max="6" width="10.33203125" bestFit="1" customWidth="1"/>
    <col min="7" max="7" width="10" bestFit="1" customWidth="1"/>
    <col min="8" max="8" width="10.109375" bestFit="1" customWidth="1"/>
    <col min="9" max="9" width="10" bestFit="1" customWidth="1"/>
    <col min="10" max="10" width="9.6640625" bestFit="1" customWidth="1"/>
    <col min="11" max="11" width="10.109375" bestFit="1" customWidth="1"/>
    <col min="12" max="12" width="10" bestFit="1" customWidth="1"/>
    <col min="13" max="13" width="9.33203125" bestFit="1" customWidth="1"/>
    <col min="14" max="14" width="10.33203125" bestFit="1" customWidth="1"/>
    <col min="15" max="15" width="16" bestFit="1" customWidth="1"/>
    <col min="16" max="16" width="9.5546875" bestFit="1" customWidth="1"/>
    <col min="17" max="17" width="9" bestFit="1" customWidth="1"/>
  </cols>
  <sheetData>
    <row r="1" spans="1:304" x14ac:dyDescent="0.25">
      <c r="A1" t="s">
        <v>40</v>
      </c>
    </row>
    <row r="2" spans="1:304" x14ac:dyDescent="0.25">
      <c r="A2" t="s">
        <v>41</v>
      </c>
    </row>
    <row r="4" spans="1:304" x14ac:dyDescent="0.25">
      <c r="A4" t="s">
        <v>42</v>
      </c>
    </row>
    <row r="5" spans="1:304" x14ac:dyDescent="0.25">
      <c r="A5" t="s">
        <v>43</v>
      </c>
    </row>
    <row r="6" spans="1:304" x14ac:dyDescent="0.25">
      <c r="A6" t="s">
        <v>44</v>
      </c>
    </row>
    <row r="7" spans="1:304" x14ac:dyDescent="0.25">
      <c r="A7" t="s">
        <v>45</v>
      </c>
    </row>
    <row r="8" spans="1:304" x14ac:dyDescent="0.25">
      <c r="A8" t="s">
        <v>46</v>
      </c>
    </row>
    <row r="9" spans="1:304" x14ac:dyDescent="0.25">
      <c r="A9" t="s">
        <v>47</v>
      </c>
    </row>
    <row r="10" spans="1:304" x14ac:dyDescent="0.25">
      <c r="A10" t="s">
        <v>48</v>
      </c>
    </row>
    <row r="12" spans="1:304" x14ac:dyDescent="0.25">
      <c r="A12" t="s">
        <v>49</v>
      </c>
      <c r="B12" t="s">
        <v>147</v>
      </c>
      <c r="C12" t="s">
        <v>148</v>
      </c>
      <c r="D12" t="s">
        <v>138</v>
      </c>
      <c r="E12" t="s">
        <v>139</v>
      </c>
      <c r="F12" t="s">
        <v>140</v>
      </c>
      <c r="G12" t="s">
        <v>141</v>
      </c>
      <c r="H12" t="s">
        <v>56</v>
      </c>
      <c r="I12" t="s">
        <v>142</v>
      </c>
      <c r="J12" t="s">
        <v>143</v>
      </c>
      <c r="K12" t="s">
        <v>144</v>
      </c>
      <c r="L12" t="s">
        <v>145</v>
      </c>
      <c r="M12" t="s">
        <v>146</v>
      </c>
      <c r="N12" t="s">
        <v>61</v>
      </c>
      <c r="O12" t="s">
        <v>62</v>
      </c>
      <c r="P12" t="s">
        <v>63</v>
      </c>
      <c r="Q12" t="s">
        <v>64</v>
      </c>
    </row>
    <row r="13" spans="1:304" s="23" customFormat="1" x14ac:dyDescent="0.25">
      <c r="A13" s="14" t="s">
        <v>151</v>
      </c>
      <c r="B13">
        <v>23.9</v>
      </c>
      <c r="C13">
        <v>27.5</v>
      </c>
      <c r="D13">
        <v>29.9</v>
      </c>
      <c r="E13">
        <v>29.8</v>
      </c>
      <c r="F13">
        <v>27.1</v>
      </c>
      <c r="G13">
        <v>22.6</v>
      </c>
      <c r="H13">
        <v>18.600000000000001</v>
      </c>
      <c r="I13">
        <v>16.100000000000001</v>
      </c>
      <c r="J13">
        <v>15.1</v>
      </c>
      <c r="K13">
        <v>15.8</v>
      </c>
      <c r="L13">
        <v>17.399999999999999</v>
      </c>
      <c r="M13">
        <v>20.2</v>
      </c>
      <c r="N13">
        <v>22</v>
      </c>
      <c r="O13">
        <v>87</v>
      </c>
      <c r="P13">
        <v>1935</v>
      </c>
      <c r="Q13">
        <v>2025</v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</row>
    <row r="14" spans="1:304" x14ac:dyDescent="0.25">
      <c r="A14" t="s">
        <v>65</v>
      </c>
      <c r="B14">
        <v>38</v>
      </c>
      <c r="C14">
        <v>42</v>
      </c>
      <c r="D14">
        <v>42.9</v>
      </c>
      <c r="E14">
        <v>43.5</v>
      </c>
      <c r="F14">
        <v>40.6</v>
      </c>
      <c r="G14">
        <v>36.700000000000003</v>
      </c>
      <c r="H14">
        <v>30.6</v>
      </c>
      <c r="I14">
        <v>24.3</v>
      </c>
      <c r="J14">
        <v>23.1</v>
      </c>
      <c r="K14">
        <v>27.1</v>
      </c>
      <c r="L14">
        <v>30.4</v>
      </c>
      <c r="M14">
        <v>35.6</v>
      </c>
      <c r="N14">
        <v>43.5</v>
      </c>
      <c r="O14">
        <v>65</v>
      </c>
      <c r="P14">
        <v>1957</v>
      </c>
      <c r="Q14">
        <v>2025</v>
      </c>
    </row>
    <row r="15" spans="1:304" x14ac:dyDescent="0.25">
      <c r="A15" t="s">
        <v>66</v>
      </c>
      <c r="B15" s="22">
        <v>43785</v>
      </c>
      <c r="C15" s="22">
        <v>39442</v>
      </c>
      <c r="D15" s="22">
        <v>33269</v>
      </c>
      <c r="E15" s="22">
        <v>33292</v>
      </c>
      <c r="F15" s="22">
        <v>22343</v>
      </c>
      <c r="G15" s="22">
        <v>43932</v>
      </c>
      <c r="H15" s="22">
        <v>45786</v>
      </c>
      <c r="I15" s="22">
        <v>27550</v>
      </c>
      <c r="J15" s="22">
        <v>27959</v>
      </c>
      <c r="K15" s="22">
        <v>43705</v>
      </c>
      <c r="L15" s="22">
        <v>41902</v>
      </c>
      <c r="M15" s="22">
        <v>22580</v>
      </c>
      <c r="N15" s="22">
        <v>33292</v>
      </c>
      <c r="O15" t="s">
        <v>67</v>
      </c>
      <c r="P15">
        <v>1957</v>
      </c>
      <c r="Q15">
        <v>2025</v>
      </c>
    </row>
    <row r="16" spans="1:304" x14ac:dyDescent="0.25">
      <c r="A16" t="s">
        <v>68</v>
      </c>
      <c r="B16">
        <v>10</v>
      </c>
      <c r="C16">
        <v>15</v>
      </c>
      <c r="D16">
        <v>16.7</v>
      </c>
      <c r="E16">
        <v>15.2</v>
      </c>
      <c r="F16">
        <v>14</v>
      </c>
      <c r="G16">
        <v>11.1</v>
      </c>
      <c r="H16">
        <v>9.9</v>
      </c>
      <c r="I16">
        <v>9.4</v>
      </c>
      <c r="J16">
        <v>6.5</v>
      </c>
      <c r="K16">
        <v>7.5</v>
      </c>
      <c r="L16">
        <v>10</v>
      </c>
      <c r="M16">
        <v>10.9</v>
      </c>
      <c r="N16">
        <v>6.5</v>
      </c>
      <c r="O16">
        <v>65</v>
      </c>
      <c r="P16">
        <v>1957</v>
      </c>
      <c r="Q16">
        <v>2025</v>
      </c>
    </row>
    <row r="17" spans="1:17" x14ac:dyDescent="0.25">
      <c r="A17" t="s">
        <v>69</v>
      </c>
      <c r="B17" s="22">
        <v>33927</v>
      </c>
      <c r="C17" s="22">
        <v>23730</v>
      </c>
      <c r="D17" s="22">
        <v>25219</v>
      </c>
      <c r="E17" s="22">
        <v>33294</v>
      </c>
      <c r="F17" s="22">
        <v>38442</v>
      </c>
      <c r="G17" s="22">
        <v>29332</v>
      </c>
      <c r="H17" s="22">
        <v>27911</v>
      </c>
      <c r="I17" s="22">
        <v>45083</v>
      </c>
      <c r="J17" s="22">
        <v>27604</v>
      </c>
      <c r="K17" s="22">
        <v>26881</v>
      </c>
      <c r="L17" s="22">
        <v>36406</v>
      </c>
      <c r="M17" s="22">
        <v>33883</v>
      </c>
      <c r="N17" s="22">
        <v>27604</v>
      </c>
      <c r="O17" t="s">
        <v>67</v>
      </c>
      <c r="P17">
        <v>1957</v>
      </c>
      <c r="Q17">
        <v>2025</v>
      </c>
    </row>
    <row r="18" spans="1:17" x14ac:dyDescent="0.25">
      <c r="A18" t="s">
        <v>70</v>
      </c>
      <c r="B18">
        <v>18</v>
      </c>
      <c r="C18">
        <v>21.4</v>
      </c>
      <c r="D18">
        <v>24</v>
      </c>
      <c r="E18">
        <v>24.1</v>
      </c>
      <c r="F18">
        <v>21.5</v>
      </c>
      <c r="G18">
        <v>17.8</v>
      </c>
      <c r="H18">
        <v>15.3</v>
      </c>
      <c r="I18">
        <v>13.3</v>
      </c>
      <c r="J18">
        <v>12.7</v>
      </c>
      <c r="K18">
        <v>13</v>
      </c>
      <c r="L18">
        <v>14</v>
      </c>
      <c r="M18">
        <v>16</v>
      </c>
      <c r="N18" t="s">
        <v>71</v>
      </c>
      <c r="O18">
        <v>60</v>
      </c>
      <c r="P18">
        <v>1957</v>
      </c>
      <c r="Q18">
        <v>2025</v>
      </c>
    </row>
    <row r="19" spans="1:17" x14ac:dyDescent="0.25">
      <c r="A19" t="s">
        <v>72</v>
      </c>
      <c r="B19">
        <v>30.7</v>
      </c>
      <c r="C19">
        <v>35</v>
      </c>
      <c r="D19">
        <v>36.299999999999997</v>
      </c>
      <c r="E19">
        <v>36</v>
      </c>
      <c r="F19">
        <v>33.1</v>
      </c>
      <c r="G19">
        <v>28.2</v>
      </c>
      <c r="H19">
        <v>23</v>
      </c>
      <c r="I19">
        <v>19</v>
      </c>
      <c r="J19">
        <v>18</v>
      </c>
      <c r="K19">
        <v>19</v>
      </c>
      <c r="L19">
        <v>21.9</v>
      </c>
      <c r="M19">
        <v>26.3</v>
      </c>
      <c r="N19" t="s">
        <v>71</v>
      </c>
      <c r="O19">
        <v>60</v>
      </c>
      <c r="P19">
        <v>1957</v>
      </c>
      <c r="Q19">
        <v>2025</v>
      </c>
    </row>
    <row r="20" spans="1:17" x14ac:dyDescent="0.25">
      <c r="A20" t="s">
        <v>73</v>
      </c>
      <c r="B20">
        <v>4.4000000000000004</v>
      </c>
      <c r="C20">
        <v>10.9</v>
      </c>
      <c r="D20">
        <v>16.600000000000001</v>
      </c>
      <c r="E20">
        <v>14.2</v>
      </c>
      <c r="F20">
        <v>9.4</v>
      </c>
      <c r="G20">
        <v>1.4</v>
      </c>
      <c r="H20">
        <v>0</v>
      </c>
      <c r="I20">
        <v>0</v>
      </c>
      <c r="J20">
        <v>0</v>
      </c>
      <c r="K20">
        <v>0</v>
      </c>
      <c r="L20">
        <v>0</v>
      </c>
      <c r="M20">
        <v>0.9</v>
      </c>
      <c r="N20">
        <v>57.8</v>
      </c>
      <c r="O20">
        <v>65</v>
      </c>
      <c r="P20">
        <v>1957</v>
      </c>
      <c r="Q20">
        <v>2025</v>
      </c>
    </row>
    <row r="21" spans="1:17" x14ac:dyDescent="0.25">
      <c r="A21" t="s">
        <v>74</v>
      </c>
      <c r="B21">
        <v>0.7</v>
      </c>
      <c r="C21">
        <v>3.1</v>
      </c>
      <c r="D21">
        <v>5.4</v>
      </c>
      <c r="E21">
        <v>4.3</v>
      </c>
      <c r="F21">
        <v>1.7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15.2</v>
      </c>
      <c r="O21">
        <v>65</v>
      </c>
      <c r="P21">
        <v>1957</v>
      </c>
      <c r="Q21">
        <v>2025</v>
      </c>
    </row>
    <row r="22" spans="1:17" x14ac:dyDescent="0.25">
      <c r="A22" t="s">
        <v>75</v>
      </c>
      <c r="B22">
        <v>0</v>
      </c>
      <c r="C22">
        <v>0.1</v>
      </c>
      <c r="D22">
        <v>0.4</v>
      </c>
      <c r="E22">
        <v>0.3</v>
      </c>
      <c r="F22">
        <v>0.1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0.9</v>
      </c>
      <c r="O22">
        <v>65</v>
      </c>
      <c r="P22">
        <v>1957</v>
      </c>
      <c r="Q22">
        <v>2025</v>
      </c>
    </row>
    <row r="23" spans="1:17" x14ac:dyDescent="0.25">
      <c r="A23" s="14" t="s">
        <v>150</v>
      </c>
      <c r="B23">
        <v>10.5</v>
      </c>
      <c r="C23">
        <v>12.7</v>
      </c>
      <c r="D23">
        <v>14.4</v>
      </c>
      <c r="E23">
        <v>14.7</v>
      </c>
      <c r="F23">
        <v>13.1</v>
      </c>
      <c r="G23">
        <v>10.4</v>
      </c>
      <c r="H23">
        <v>7.8</v>
      </c>
      <c r="I23">
        <v>6.5</v>
      </c>
      <c r="J23">
        <v>5.6</v>
      </c>
      <c r="K23">
        <v>5.5</v>
      </c>
      <c r="L23">
        <v>6.5</v>
      </c>
      <c r="M23">
        <v>8.1</v>
      </c>
      <c r="N23">
        <v>9.6</v>
      </c>
      <c r="O23">
        <v>87</v>
      </c>
      <c r="P23">
        <v>1935</v>
      </c>
      <c r="Q23">
        <v>2025</v>
      </c>
    </row>
    <row r="24" spans="1:17" x14ac:dyDescent="0.25">
      <c r="A24" t="s">
        <v>76</v>
      </c>
      <c r="B24">
        <v>0.6</v>
      </c>
      <c r="C24">
        <v>0.9</v>
      </c>
      <c r="D24">
        <v>6</v>
      </c>
      <c r="E24">
        <v>5</v>
      </c>
      <c r="F24">
        <v>3</v>
      </c>
      <c r="G24">
        <v>0</v>
      </c>
      <c r="H24">
        <v>-3.9</v>
      </c>
      <c r="I24">
        <v>-3</v>
      </c>
      <c r="J24">
        <v>-3.9</v>
      </c>
      <c r="K24">
        <v>-2.2000000000000002</v>
      </c>
      <c r="L24">
        <v>-1.7</v>
      </c>
      <c r="M24">
        <v>-0.8</v>
      </c>
      <c r="N24">
        <v>-3.9</v>
      </c>
      <c r="O24">
        <v>65</v>
      </c>
      <c r="P24">
        <v>1957</v>
      </c>
      <c r="Q24">
        <v>2025</v>
      </c>
    </row>
    <row r="25" spans="1:17" x14ac:dyDescent="0.25">
      <c r="A25" t="s">
        <v>77</v>
      </c>
      <c r="B25" s="22">
        <v>25143</v>
      </c>
      <c r="C25" s="22">
        <v>27756</v>
      </c>
      <c r="D25" s="22">
        <v>37262</v>
      </c>
      <c r="E25" s="22">
        <v>29630</v>
      </c>
      <c r="F25" s="22">
        <v>39169</v>
      </c>
      <c r="G25" s="22">
        <v>22036</v>
      </c>
      <c r="H25" s="22">
        <v>23527</v>
      </c>
      <c r="I25" s="22">
        <v>38885</v>
      </c>
      <c r="J25" s="22">
        <v>22856</v>
      </c>
      <c r="K25" s="22">
        <v>24337</v>
      </c>
      <c r="L25" s="22">
        <v>22904</v>
      </c>
      <c r="M25" s="22">
        <v>21464</v>
      </c>
      <c r="N25" s="22">
        <v>22856</v>
      </c>
      <c r="O25" t="s">
        <v>67</v>
      </c>
      <c r="P25">
        <v>1957</v>
      </c>
      <c r="Q25">
        <v>2025</v>
      </c>
    </row>
    <row r="26" spans="1:17" x14ac:dyDescent="0.25">
      <c r="A26" t="s">
        <v>78</v>
      </c>
      <c r="B26">
        <v>23</v>
      </c>
      <c r="C26">
        <v>23.8</v>
      </c>
      <c r="D26">
        <v>24.1</v>
      </c>
      <c r="E26">
        <v>25.6</v>
      </c>
      <c r="F26">
        <v>27.3</v>
      </c>
      <c r="G26">
        <v>20.399999999999999</v>
      </c>
      <c r="H26">
        <v>18</v>
      </c>
      <c r="I26">
        <v>16</v>
      </c>
      <c r="J26">
        <v>14</v>
      </c>
      <c r="K26">
        <v>14.3</v>
      </c>
      <c r="L26">
        <v>16.7</v>
      </c>
      <c r="M26">
        <v>17.7</v>
      </c>
      <c r="N26">
        <v>27.3</v>
      </c>
      <c r="O26">
        <v>65</v>
      </c>
      <c r="P26">
        <v>1957</v>
      </c>
      <c r="Q26">
        <v>2025</v>
      </c>
    </row>
    <row r="27" spans="1:17" x14ac:dyDescent="0.25">
      <c r="A27" t="s">
        <v>79</v>
      </c>
      <c r="B27" s="22">
        <v>38314</v>
      </c>
      <c r="C27" s="22">
        <v>22635</v>
      </c>
      <c r="D27" s="22">
        <v>44580</v>
      </c>
      <c r="E27" s="22">
        <v>25602</v>
      </c>
      <c r="F27" s="22">
        <v>22343</v>
      </c>
      <c r="G27" s="22">
        <v>44653</v>
      </c>
      <c r="H27" s="22">
        <v>30438</v>
      </c>
      <c r="I27" s="22">
        <v>42175</v>
      </c>
      <c r="J27" s="22">
        <v>42216</v>
      </c>
      <c r="K27" s="22">
        <v>41494</v>
      </c>
      <c r="L27" s="22">
        <v>23278</v>
      </c>
      <c r="M27" s="22">
        <v>33524</v>
      </c>
      <c r="N27" s="22">
        <v>22343</v>
      </c>
      <c r="O27" t="s">
        <v>67</v>
      </c>
      <c r="P27">
        <v>1957</v>
      </c>
      <c r="Q27">
        <v>2025</v>
      </c>
    </row>
    <row r="28" spans="1:17" x14ac:dyDescent="0.25">
      <c r="A28" t="s">
        <v>80</v>
      </c>
      <c r="B28">
        <v>7</v>
      </c>
      <c r="C28">
        <v>9.1</v>
      </c>
      <c r="D28">
        <v>11</v>
      </c>
      <c r="E28">
        <v>11</v>
      </c>
      <c r="F28">
        <v>9</v>
      </c>
      <c r="G28">
        <v>6.1</v>
      </c>
      <c r="H28">
        <v>3.5</v>
      </c>
      <c r="I28">
        <v>1.7</v>
      </c>
      <c r="J28">
        <v>1</v>
      </c>
      <c r="K28">
        <v>1</v>
      </c>
      <c r="L28">
        <v>2.2999999999999998</v>
      </c>
      <c r="M28">
        <v>4</v>
      </c>
      <c r="N28" t="s">
        <v>71</v>
      </c>
      <c r="O28">
        <v>61</v>
      </c>
      <c r="P28">
        <v>1957</v>
      </c>
      <c r="Q28">
        <v>2025</v>
      </c>
    </row>
    <row r="29" spans="1:17" x14ac:dyDescent="0.25">
      <c r="A29" t="s">
        <v>81</v>
      </c>
      <c r="B29">
        <v>14.4</v>
      </c>
      <c r="C29">
        <v>17.100000000000001</v>
      </c>
      <c r="D29">
        <v>18.5</v>
      </c>
      <c r="E29">
        <v>19</v>
      </c>
      <c r="F29">
        <v>17.5</v>
      </c>
      <c r="G29">
        <v>15</v>
      </c>
      <c r="H29">
        <v>12.9</v>
      </c>
      <c r="I29">
        <v>11.1</v>
      </c>
      <c r="J29">
        <v>10</v>
      </c>
      <c r="K29">
        <v>10.3</v>
      </c>
      <c r="L29">
        <v>11</v>
      </c>
      <c r="M29">
        <v>12.6</v>
      </c>
      <c r="N29" t="s">
        <v>71</v>
      </c>
      <c r="O29">
        <v>61</v>
      </c>
      <c r="P29">
        <v>1957</v>
      </c>
      <c r="Q29">
        <v>2025</v>
      </c>
    </row>
    <row r="30" spans="1:17" x14ac:dyDescent="0.25">
      <c r="A30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0.2</v>
      </c>
      <c r="H30">
        <v>1</v>
      </c>
      <c r="I30">
        <v>3.5</v>
      </c>
      <c r="J30">
        <v>5.3</v>
      </c>
      <c r="K30">
        <v>5.0999999999999996</v>
      </c>
      <c r="L30">
        <v>2.4</v>
      </c>
      <c r="M30">
        <v>0.5</v>
      </c>
      <c r="N30">
        <v>18</v>
      </c>
      <c r="O30">
        <v>65</v>
      </c>
      <c r="P30">
        <v>1957</v>
      </c>
      <c r="Q30">
        <v>2025</v>
      </c>
    </row>
    <row r="31" spans="1:17" x14ac:dyDescent="0.25">
      <c r="A31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0.2</v>
      </c>
      <c r="I31">
        <v>0.7</v>
      </c>
      <c r="J31">
        <v>1.7</v>
      </c>
      <c r="K31">
        <v>1.4</v>
      </c>
      <c r="L31">
        <v>0.3</v>
      </c>
      <c r="M31">
        <v>0.1</v>
      </c>
      <c r="N31">
        <v>4.4000000000000004</v>
      </c>
      <c r="O31">
        <v>65</v>
      </c>
      <c r="P31">
        <v>1957</v>
      </c>
      <c r="Q31">
        <v>2025</v>
      </c>
    </row>
    <row r="32" spans="1:17" x14ac:dyDescent="0.25">
      <c r="A32" t="s">
        <v>84</v>
      </c>
      <c r="B32">
        <v>8.1</v>
      </c>
      <c r="C32">
        <v>10.3</v>
      </c>
      <c r="D32">
        <v>11.8</v>
      </c>
      <c r="E32">
        <v>12.1</v>
      </c>
      <c r="F32">
        <v>10.6</v>
      </c>
      <c r="G32">
        <v>8</v>
      </c>
      <c r="H32">
        <v>5.7</v>
      </c>
      <c r="I32">
        <v>4.7</v>
      </c>
      <c r="J32">
        <v>3.6</v>
      </c>
      <c r="K32">
        <v>3.5</v>
      </c>
      <c r="L32">
        <v>4.2</v>
      </c>
      <c r="M32">
        <v>5.6</v>
      </c>
      <c r="N32">
        <v>7.3</v>
      </c>
      <c r="O32">
        <v>59</v>
      </c>
      <c r="P32">
        <v>1936</v>
      </c>
      <c r="Q32">
        <v>1999</v>
      </c>
    </row>
    <row r="33" spans="1:304" x14ac:dyDescent="0.25">
      <c r="A33" t="s">
        <v>85</v>
      </c>
      <c r="B33">
        <v>-1.8</v>
      </c>
      <c r="C33">
        <v>0.5</v>
      </c>
      <c r="D33">
        <v>0.6</v>
      </c>
      <c r="E33">
        <v>-1.1000000000000001</v>
      </c>
      <c r="F33">
        <v>-3.9</v>
      </c>
      <c r="G33">
        <v>-2.2000000000000002</v>
      </c>
      <c r="H33">
        <v>-6.7</v>
      </c>
      <c r="I33">
        <v>-7</v>
      </c>
      <c r="J33">
        <v>-6.1</v>
      </c>
      <c r="K33">
        <v>-6.1</v>
      </c>
      <c r="L33">
        <v>-5.6</v>
      </c>
      <c r="M33">
        <v>-8</v>
      </c>
      <c r="N33">
        <v>-8</v>
      </c>
      <c r="O33">
        <v>39</v>
      </c>
      <c r="P33">
        <v>1957</v>
      </c>
      <c r="Q33">
        <v>1999</v>
      </c>
    </row>
    <row r="34" spans="1:304" x14ac:dyDescent="0.25">
      <c r="A34" t="s">
        <v>86</v>
      </c>
      <c r="B34" s="22">
        <v>25143</v>
      </c>
      <c r="C34" s="22">
        <v>27756</v>
      </c>
      <c r="D34" s="22">
        <v>23384</v>
      </c>
      <c r="E34" s="22">
        <v>24893</v>
      </c>
      <c r="F34" s="22">
        <v>23456</v>
      </c>
      <c r="G34" s="22">
        <v>21670</v>
      </c>
      <c r="H34" s="22">
        <v>23527</v>
      </c>
      <c r="I34" s="22">
        <v>26841</v>
      </c>
      <c r="J34" s="22">
        <v>24684</v>
      </c>
      <c r="K34" s="22">
        <v>25078</v>
      </c>
      <c r="L34" s="22">
        <v>25461</v>
      </c>
      <c r="M34" s="22">
        <v>27317</v>
      </c>
      <c r="N34" s="22">
        <v>27317</v>
      </c>
      <c r="O34" t="s">
        <v>67</v>
      </c>
      <c r="P34">
        <v>1957</v>
      </c>
      <c r="Q34">
        <v>1999</v>
      </c>
    </row>
    <row r="35" spans="1:304" x14ac:dyDescent="0.25">
      <c r="A35" t="s">
        <v>87</v>
      </c>
      <c r="B35">
        <v>0.1</v>
      </c>
      <c r="C35">
        <v>0</v>
      </c>
      <c r="D35">
        <v>0</v>
      </c>
      <c r="E35">
        <v>0</v>
      </c>
      <c r="F35">
        <v>0.1</v>
      </c>
      <c r="G35">
        <v>0.1</v>
      </c>
      <c r="H35">
        <v>0.7</v>
      </c>
      <c r="I35">
        <v>1.4</v>
      </c>
      <c r="J35">
        <v>3.2</v>
      </c>
      <c r="K35">
        <v>3.5</v>
      </c>
      <c r="L35">
        <v>2.1</v>
      </c>
      <c r="M35">
        <v>0.9</v>
      </c>
      <c r="N35">
        <v>12.1</v>
      </c>
      <c r="O35">
        <v>39</v>
      </c>
      <c r="P35">
        <v>1957</v>
      </c>
      <c r="Q35">
        <v>1999</v>
      </c>
    </row>
    <row r="36" spans="1:304" s="23" customFormat="1" x14ac:dyDescent="0.25">
      <c r="A36" s="14" t="s">
        <v>149</v>
      </c>
      <c r="B36">
        <v>44.8</v>
      </c>
      <c r="C36">
        <v>20</v>
      </c>
      <c r="D36">
        <v>16.2</v>
      </c>
      <c r="E36">
        <v>21.1</v>
      </c>
      <c r="F36">
        <v>26.6</v>
      </c>
      <c r="G36">
        <v>64.900000000000006</v>
      </c>
      <c r="H36">
        <v>153.4</v>
      </c>
      <c r="I36">
        <v>230.6</v>
      </c>
      <c r="J36">
        <v>234.2</v>
      </c>
      <c r="K36">
        <v>192.6</v>
      </c>
      <c r="L36">
        <v>128.5</v>
      </c>
      <c r="M36">
        <v>78.099999999999994</v>
      </c>
      <c r="N36">
        <v>1212.5</v>
      </c>
      <c r="O36">
        <v>91</v>
      </c>
      <c r="P36">
        <v>1934</v>
      </c>
      <c r="Q36">
        <v>2025</v>
      </c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</row>
    <row r="37" spans="1:304" x14ac:dyDescent="0.25">
      <c r="A37" t="s">
        <v>88</v>
      </c>
      <c r="B37">
        <v>150.80000000000001</v>
      </c>
      <c r="C37">
        <v>109.6</v>
      </c>
      <c r="D37">
        <v>237.4</v>
      </c>
      <c r="E37">
        <v>269.10000000000002</v>
      </c>
      <c r="F37">
        <v>113.1</v>
      </c>
      <c r="G37">
        <v>174.4</v>
      </c>
      <c r="H37">
        <v>325.3</v>
      </c>
      <c r="I37">
        <v>719.2</v>
      </c>
      <c r="J37">
        <v>573</v>
      </c>
      <c r="K37">
        <v>554.1</v>
      </c>
      <c r="L37">
        <v>298.89999999999998</v>
      </c>
      <c r="M37">
        <v>237.5</v>
      </c>
      <c r="N37">
        <v>1977.3</v>
      </c>
      <c r="O37">
        <v>91</v>
      </c>
      <c r="P37">
        <v>1934</v>
      </c>
      <c r="Q37">
        <v>2025</v>
      </c>
    </row>
    <row r="38" spans="1:304" x14ac:dyDescent="0.25">
      <c r="A38" t="s">
        <v>89</v>
      </c>
      <c r="B38">
        <v>1946</v>
      </c>
      <c r="C38">
        <v>2011</v>
      </c>
      <c r="D38">
        <v>1982</v>
      </c>
      <c r="E38">
        <v>1955</v>
      </c>
      <c r="F38">
        <v>1960</v>
      </c>
      <c r="G38">
        <v>2023</v>
      </c>
      <c r="H38">
        <v>1984</v>
      </c>
      <c r="I38">
        <v>1945</v>
      </c>
      <c r="J38">
        <v>1946</v>
      </c>
      <c r="K38">
        <v>1955</v>
      </c>
      <c r="L38">
        <v>1971</v>
      </c>
      <c r="M38">
        <v>1955</v>
      </c>
      <c r="N38">
        <v>1955</v>
      </c>
      <c r="O38" t="s">
        <v>67</v>
      </c>
      <c r="P38">
        <v>1934</v>
      </c>
      <c r="Q38">
        <v>2025</v>
      </c>
    </row>
    <row r="39" spans="1:304" x14ac:dyDescent="0.25">
      <c r="A39" t="s">
        <v>90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31.8</v>
      </c>
      <c r="I39">
        <v>44.8</v>
      </c>
      <c r="J39">
        <v>50.4</v>
      </c>
      <c r="K39">
        <v>29.2</v>
      </c>
      <c r="L39">
        <v>11.6</v>
      </c>
      <c r="M39">
        <v>3.3</v>
      </c>
      <c r="N39">
        <v>589.1</v>
      </c>
      <c r="O39">
        <v>91</v>
      </c>
      <c r="P39">
        <v>1934</v>
      </c>
      <c r="Q39">
        <v>2025</v>
      </c>
    </row>
    <row r="40" spans="1:304" x14ac:dyDescent="0.25">
      <c r="A40" t="s">
        <v>91</v>
      </c>
      <c r="B40">
        <v>1999</v>
      </c>
      <c r="C40">
        <v>1997</v>
      </c>
      <c r="D40">
        <v>2022</v>
      </c>
      <c r="E40">
        <v>2023</v>
      </c>
      <c r="F40">
        <v>2011</v>
      </c>
      <c r="G40">
        <v>2024</v>
      </c>
      <c r="H40">
        <v>2000</v>
      </c>
      <c r="I40">
        <v>2001</v>
      </c>
      <c r="J40">
        <v>2012</v>
      </c>
      <c r="K40">
        <v>2008</v>
      </c>
      <c r="L40">
        <v>1969</v>
      </c>
      <c r="M40">
        <v>1946</v>
      </c>
      <c r="N40">
        <v>2010</v>
      </c>
      <c r="O40" t="s">
        <v>67</v>
      </c>
      <c r="P40">
        <v>1934</v>
      </c>
      <c r="Q40">
        <v>2025</v>
      </c>
    </row>
    <row r="41" spans="1:304" x14ac:dyDescent="0.25">
      <c r="A41" t="s">
        <v>92</v>
      </c>
      <c r="B41">
        <v>9.9</v>
      </c>
      <c r="C41">
        <v>2.4</v>
      </c>
      <c r="D41">
        <v>0.3</v>
      </c>
      <c r="E41">
        <v>0</v>
      </c>
      <c r="F41">
        <v>2.5</v>
      </c>
      <c r="G41">
        <v>10.5</v>
      </c>
      <c r="H41">
        <v>59.7</v>
      </c>
      <c r="I41">
        <v>113.8</v>
      </c>
      <c r="J41">
        <v>131</v>
      </c>
      <c r="K41">
        <v>97.2</v>
      </c>
      <c r="L41">
        <v>56.3</v>
      </c>
      <c r="M41">
        <v>26.6</v>
      </c>
      <c r="N41" t="s">
        <v>71</v>
      </c>
      <c r="O41">
        <v>92</v>
      </c>
      <c r="P41" t="s">
        <v>134</v>
      </c>
      <c r="Q41" t="s">
        <v>134</v>
      </c>
    </row>
    <row r="42" spans="1:304" x14ac:dyDescent="0.25">
      <c r="A42" t="s">
        <v>93</v>
      </c>
      <c r="B42">
        <v>39.1</v>
      </c>
      <c r="C42">
        <v>14.7</v>
      </c>
      <c r="D42">
        <v>4.5999999999999996</v>
      </c>
      <c r="E42">
        <v>7.2</v>
      </c>
      <c r="F42">
        <v>16.8</v>
      </c>
      <c r="G42">
        <v>53.7</v>
      </c>
      <c r="H42">
        <v>153.80000000000001</v>
      </c>
      <c r="I42">
        <v>216.7</v>
      </c>
      <c r="J42">
        <v>223</v>
      </c>
      <c r="K42">
        <v>184.2</v>
      </c>
      <c r="L42">
        <v>129.5</v>
      </c>
      <c r="M42">
        <v>72</v>
      </c>
      <c r="N42" t="s">
        <v>71</v>
      </c>
      <c r="O42">
        <v>92</v>
      </c>
      <c r="P42" t="s">
        <v>134</v>
      </c>
      <c r="Q42" t="s">
        <v>134</v>
      </c>
    </row>
    <row r="43" spans="1:304" x14ac:dyDescent="0.25">
      <c r="A43" t="s">
        <v>94</v>
      </c>
      <c r="B43">
        <v>93.8</v>
      </c>
      <c r="C43">
        <v>45.3</v>
      </c>
      <c r="D43">
        <v>36.5</v>
      </c>
      <c r="E43">
        <v>48.7</v>
      </c>
      <c r="F43">
        <v>67.400000000000006</v>
      </c>
      <c r="G43">
        <v>126</v>
      </c>
      <c r="H43">
        <v>240.6</v>
      </c>
      <c r="I43">
        <v>353.5</v>
      </c>
      <c r="J43">
        <v>324.8</v>
      </c>
      <c r="K43">
        <v>287.60000000000002</v>
      </c>
      <c r="L43">
        <v>221.4</v>
      </c>
      <c r="M43">
        <v>142.4</v>
      </c>
      <c r="N43" t="s">
        <v>71</v>
      </c>
      <c r="O43">
        <v>92</v>
      </c>
      <c r="P43" t="s">
        <v>134</v>
      </c>
      <c r="Q43" t="s">
        <v>134</v>
      </c>
    </row>
    <row r="44" spans="1:304" x14ac:dyDescent="0.25">
      <c r="A44" t="s">
        <v>95</v>
      </c>
      <c r="B44">
        <v>64.3</v>
      </c>
      <c r="C44">
        <v>64.3</v>
      </c>
      <c r="D44">
        <v>159.80000000000001</v>
      </c>
      <c r="E44">
        <v>177.5</v>
      </c>
      <c r="F44">
        <v>59.2</v>
      </c>
      <c r="G44">
        <v>93.4</v>
      </c>
      <c r="H44">
        <v>107</v>
      </c>
      <c r="I44">
        <v>114.8</v>
      </c>
      <c r="J44">
        <v>111.8</v>
      </c>
      <c r="K44">
        <v>103.9</v>
      </c>
      <c r="L44">
        <v>67.599999999999994</v>
      </c>
      <c r="M44">
        <v>86.8</v>
      </c>
      <c r="N44">
        <v>177.5</v>
      </c>
      <c r="O44">
        <v>92</v>
      </c>
      <c r="P44">
        <v>1934</v>
      </c>
      <c r="Q44">
        <v>2025</v>
      </c>
    </row>
    <row r="45" spans="1:304" x14ac:dyDescent="0.25">
      <c r="A45" t="s">
        <v>96</v>
      </c>
      <c r="B45" s="22">
        <v>17118</v>
      </c>
      <c r="C45" s="22">
        <v>21915</v>
      </c>
      <c r="D45" s="22">
        <v>29972</v>
      </c>
      <c r="E45" s="22">
        <v>20137</v>
      </c>
      <c r="F45" s="22">
        <v>20519</v>
      </c>
      <c r="G45" s="22">
        <v>30802</v>
      </c>
      <c r="H45" s="22">
        <v>38474</v>
      </c>
      <c r="I45" s="22">
        <v>16598</v>
      </c>
      <c r="J45" s="22">
        <v>14451</v>
      </c>
      <c r="K45" s="22">
        <v>23593</v>
      </c>
      <c r="L45" s="22">
        <v>25091</v>
      </c>
      <c r="M45" s="22">
        <v>28764</v>
      </c>
      <c r="N45" s="22">
        <v>20137</v>
      </c>
      <c r="O45" t="s">
        <v>67</v>
      </c>
      <c r="P45">
        <v>1934</v>
      </c>
      <c r="Q45">
        <v>2025</v>
      </c>
    </row>
    <row r="46" spans="1:304" x14ac:dyDescent="0.25">
      <c r="A46" t="s">
        <v>97</v>
      </c>
      <c r="B46">
        <v>8</v>
      </c>
      <c r="C46">
        <v>4.7</v>
      </c>
      <c r="D46">
        <v>3.3</v>
      </c>
      <c r="E46">
        <v>3.3</v>
      </c>
      <c r="F46">
        <v>5</v>
      </c>
      <c r="G46">
        <v>9.5</v>
      </c>
      <c r="H46">
        <v>15.4</v>
      </c>
      <c r="I46">
        <v>18.8</v>
      </c>
      <c r="J46">
        <v>21</v>
      </c>
      <c r="K46">
        <v>19.100000000000001</v>
      </c>
      <c r="L46">
        <v>16</v>
      </c>
      <c r="M46">
        <v>12.1</v>
      </c>
      <c r="N46">
        <v>136.19999999999999</v>
      </c>
      <c r="O46">
        <v>91</v>
      </c>
      <c r="P46">
        <v>1934</v>
      </c>
      <c r="Q46">
        <v>2025</v>
      </c>
    </row>
    <row r="47" spans="1:304" x14ac:dyDescent="0.25">
      <c r="A47" t="s">
        <v>98</v>
      </c>
      <c r="B47">
        <v>5.9</v>
      </c>
      <c r="C47">
        <v>3.1</v>
      </c>
      <c r="D47">
        <v>1.9</v>
      </c>
      <c r="E47">
        <v>2.2000000000000002</v>
      </c>
      <c r="F47">
        <v>3.3</v>
      </c>
      <c r="G47">
        <v>6.5</v>
      </c>
      <c r="H47">
        <v>11.3</v>
      </c>
      <c r="I47">
        <v>15</v>
      </c>
      <c r="J47">
        <v>16.8</v>
      </c>
      <c r="K47">
        <v>14.8</v>
      </c>
      <c r="L47">
        <v>12.3</v>
      </c>
      <c r="M47">
        <v>8.6</v>
      </c>
      <c r="N47">
        <v>101.7</v>
      </c>
      <c r="O47">
        <v>92</v>
      </c>
      <c r="P47">
        <v>1934</v>
      </c>
      <c r="Q47">
        <v>2025</v>
      </c>
    </row>
    <row r="48" spans="1:304" x14ac:dyDescent="0.25">
      <c r="A48" t="s">
        <v>99</v>
      </c>
      <c r="B48">
        <v>1.4</v>
      </c>
      <c r="C48">
        <v>0.5</v>
      </c>
      <c r="D48">
        <v>0.3</v>
      </c>
      <c r="E48">
        <v>0.5</v>
      </c>
      <c r="F48">
        <v>0.8</v>
      </c>
      <c r="G48">
        <v>2</v>
      </c>
      <c r="H48">
        <v>5.2</v>
      </c>
      <c r="I48">
        <v>7.6</v>
      </c>
      <c r="J48">
        <v>8.1999999999999993</v>
      </c>
      <c r="K48">
        <v>6.7</v>
      </c>
      <c r="L48">
        <v>4.5999999999999996</v>
      </c>
      <c r="M48">
        <v>2.6</v>
      </c>
      <c r="N48">
        <v>40.4</v>
      </c>
      <c r="O48">
        <v>92</v>
      </c>
      <c r="P48">
        <v>1934</v>
      </c>
      <c r="Q48">
        <v>2025</v>
      </c>
    </row>
    <row r="49" spans="1:17" x14ac:dyDescent="0.25">
      <c r="A49" t="s">
        <v>100</v>
      </c>
      <c r="B49">
        <v>0.4</v>
      </c>
      <c r="C49">
        <v>0.1</v>
      </c>
      <c r="D49">
        <v>0.1</v>
      </c>
      <c r="E49">
        <v>0.2</v>
      </c>
      <c r="F49">
        <v>0.2</v>
      </c>
      <c r="G49">
        <v>0.6</v>
      </c>
      <c r="H49">
        <v>1.9</v>
      </c>
      <c r="I49">
        <v>3</v>
      </c>
      <c r="J49">
        <v>2.9</v>
      </c>
      <c r="K49">
        <v>2.2000000000000002</v>
      </c>
      <c r="L49">
        <v>1.1000000000000001</v>
      </c>
      <c r="M49">
        <v>0.6</v>
      </c>
      <c r="N49">
        <v>13.3</v>
      </c>
      <c r="O49">
        <v>92</v>
      </c>
      <c r="P49">
        <v>1934</v>
      </c>
      <c r="Q49">
        <v>2025</v>
      </c>
    </row>
    <row r="50" spans="1:17" x14ac:dyDescent="0.25">
      <c r="A50" t="s">
        <v>101</v>
      </c>
      <c r="B50">
        <v>240</v>
      </c>
      <c r="C50">
        <v>264</v>
      </c>
      <c r="D50">
        <v>254</v>
      </c>
      <c r="E50">
        <v>267</v>
      </c>
      <c r="F50">
        <v>236</v>
      </c>
      <c r="G50">
        <v>197</v>
      </c>
      <c r="H50">
        <v>183</v>
      </c>
      <c r="I50">
        <v>175</v>
      </c>
      <c r="J50">
        <v>214</v>
      </c>
      <c r="K50">
        <v>210</v>
      </c>
      <c r="L50">
        <v>215</v>
      </c>
      <c r="M50">
        <v>212</v>
      </c>
      <c r="N50">
        <v>222</v>
      </c>
      <c r="O50">
        <v>24</v>
      </c>
      <c r="P50">
        <v>1958</v>
      </c>
      <c r="Q50">
        <v>2025</v>
      </c>
    </row>
    <row r="51" spans="1:17" x14ac:dyDescent="0.25">
      <c r="A51" t="s">
        <v>102</v>
      </c>
      <c r="B51">
        <v>100</v>
      </c>
      <c r="C51">
        <v>67</v>
      </c>
      <c r="D51">
        <v>78</v>
      </c>
      <c r="E51">
        <v>83</v>
      </c>
      <c r="F51">
        <v>74</v>
      </c>
      <c r="G51">
        <v>72</v>
      </c>
      <c r="H51">
        <v>94</v>
      </c>
      <c r="I51">
        <v>107</v>
      </c>
      <c r="J51">
        <v>93</v>
      </c>
      <c r="K51">
        <v>89</v>
      </c>
      <c r="L51">
        <v>89</v>
      </c>
      <c r="M51">
        <v>91</v>
      </c>
      <c r="N51">
        <v>107</v>
      </c>
      <c r="O51">
        <v>15</v>
      </c>
      <c r="P51">
        <v>2008</v>
      </c>
      <c r="Q51">
        <v>2025</v>
      </c>
    </row>
    <row r="52" spans="1:17" x14ac:dyDescent="0.25">
      <c r="A52" t="s">
        <v>103</v>
      </c>
      <c r="B52" s="22">
        <v>41241</v>
      </c>
      <c r="C52" s="22">
        <v>43087</v>
      </c>
      <c r="D52" s="22">
        <v>43129</v>
      </c>
      <c r="E52" s="22">
        <v>39858</v>
      </c>
      <c r="F52" s="22">
        <v>44257</v>
      </c>
      <c r="G52" s="22">
        <v>43574</v>
      </c>
      <c r="H52" s="22">
        <v>42511</v>
      </c>
      <c r="I52" s="22">
        <v>41070</v>
      </c>
      <c r="J52" s="22">
        <v>45504</v>
      </c>
      <c r="K52" s="22">
        <v>44775</v>
      </c>
      <c r="L52" s="22">
        <v>40077</v>
      </c>
      <c r="M52" s="22">
        <v>43024</v>
      </c>
      <c r="N52" s="22">
        <v>41070</v>
      </c>
      <c r="O52" t="s">
        <v>67</v>
      </c>
      <c r="P52">
        <v>2008</v>
      </c>
      <c r="Q52">
        <v>2025</v>
      </c>
    </row>
    <row r="53" spans="1:17" x14ac:dyDescent="0.25">
      <c r="A53" t="s">
        <v>104</v>
      </c>
      <c r="B53">
        <v>8.5</v>
      </c>
      <c r="C53">
        <v>10</v>
      </c>
      <c r="D53">
        <v>10.5</v>
      </c>
      <c r="E53">
        <v>9.5</v>
      </c>
      <c r="F53">
        <v>7.9</v>
      </c>
      <c r="G53">
        <v>6.1</v>
      </c>
      <c r="H53">
        <v>5.0999999999999996</v>
      </c>
      <c r="I53">
        <v>3.9</v>
      </c>
      <c r="J53">
        <v>4.3</v>
      </c>
      <c r="K53">
        <v>5.2</v>
      </c>
      <c r="L53">
        <v>5.9</v>
      </c>
      <c r="M53">
        <v>7.5</v>
      </c>
      <c r="N53">
        <v>7</v>
      </c>
      <c r="O53">
        <v>32</v>
      </c>
      <c r="P53">
        <v>1957</v>
      </c>
      <c r="Q53">
        <v>1999</v>
      </c>
    </row>
    <row r="54" spans="1:17" x14ac:dyDescent="0.25">
      <c r="A54" t="s">
        <v>105</v>
      </c>
      <c r="B54">
        <v>25.6</v>
      </c>
      <c r="C54">
        <v>29</v>
      </c>
      <c r="D54">
        <v>28.7</v>
      </c>
      <c r="E54">
        <v>25.2</v>
      </c>
      <c r="F54">
        <v>20</v>
      </c>
      <c r="G54">
        <v>14.3</v>
      </c>
      <c r="H54">
        <v>10.5</v>
      </c>
      <c r="I54">
        <v>8.6999999999999993</v>
      </c>
      <c r="J54">
        <v>9.1</v>
      </c>
      <c r="K54">
        <v>12</v>
      </c>
      <c r="L54">
        <v>16</v>
      </c>
      <c r="M54">
        <v>21.2</v>
      </c>
      <c r="N54">
        <v>18.399999999999999</v>
      </c>
      <c r="O54">
        <v>35</v>
      </c>
      <c r="P54">
        <v>1990</v>
      </c>
      <c r="Q54">
        <v>2025</v>
      </c>
    </row>
    <row r="55" spans="1:17" x14ac:dyDescent="0.25">
      <c r="A55" t="s">
        <v>106</v>
      </c>
      <c r="B55">
        <v>9.6</v>
      </c>
      <c r="C55">
        <v>14.6</v>
      </c>
      <c r="D55">
        <v>17.100000000000001</v>
      </c>
      <c r="E55">
        <v>14.8</v>
      </c>
      <c r="F55">
        <v>13.5</v>
      </c>
      <c r="G55">
        <v>8.1</v>
      </c>
      <c r="H55">
        <v>6.1</v>
      </c>
      <c r="I55">
        <v>4.3</v>
      </c>
      <c r="J55">
        <v>3.9</v>
      </c>
      <c r="K55">
        <v>4.8</v>
      </c>
      <c r="L55">
        <v>6</v>
      </c>
      <c r="M55">
        <v>7.7</v>
      </c>
      <c r="N55">
        <v>110.5</v>
      </c>
      <c r="O55">
        <v>40</v>
      </c>
      <c r="P55">
        <v>1957</v>
      </c>
      <c r="Q55">
        <v>1999</v>
      </c>
    </row>
    <row r="56" spans="1:17" x14ac:dyDescent="0.25">
      <c r="A56" t="s">
        <v>107</v>
      </c>
      <c r="B56">
        <v>10</v>
      </c>
      <c r="C56">
        <v>6.3</v>
      </c>
      <c r="D56">
        <v>4.5</v>
      </c>
      <c r="E56">
        <v>5.2</v>
      </c>
      <c r="F56">
        <v>7.7</v>
      </c>
      <c r="G56">
        <v>11.4</v>
      </c>
      <c r="H56">
        <v>13.2</v>
      </c>
      <c r="I56">
        <v>13.2</v>
      </c>
      <c r="J56">
        <v>13.6</v>
      </c>
      <c r="K56">
        <v>12.6</v>
      </c>
      <c r="L56">
        <v>11.6</v>
      </c>
      <c r="M56">
        <v>10.8</v>
      </c>
      <c r="N56">
        <v>120.1</v>
      </c>
      <c r="O56">
        <v>40</v>
      </c>
      <c r="P56">
        <v>1957</v>
      </c>
      <c r="Q56">
        <v>1999</v>
      </c>
    </row>
    <row r="57" spans="1:17" x14ac:dyDescent="0.25">
      <c r="A57" t="s">
        <v>108</v>
      </c>
      <c r="B57">
        <v>5.2</v>
      </c>
      <c r="C57">
        <v>6.6</v>
      </c>
      <c r="D57">
        <v>7.1</v>
      </c>
      <c r="E57">
        <v>6.6</v>
      </c>
      <c r="F57">
        <v>5</v>
      </c>
      <c r="G57">
        <v>3</v>
      </c>
      <c r="H57">
        <v>2</v>
      </c>
      <c r="I57">
        <v>1.7</v>
      </c>
      <c r="J57">
        <v>1.7</v>
      </c>
      <c r="K57">
        <v>1.9</v>
      </c>
      <c r="L57">
        <v>2.6</v>
      </c>
      <c r="M57">
        <v>3.7</v>
      </c>
      <c r="N57">
        <v>3.9</v>
      </c>
      <c r="O57">
        <v>45</v>
      </c>
      <c r="P57">
        <v>1967</v>
      </c>
      <c r="Q57">
        <v>2021</v>
      </c>
    </row>
    <row r="58" spans="1:17" x14ac:dyDescent="0.25">
      <c r="A58" t="s">
        <v>109</v>
      </c>
      <c r="B58">
        <v>17.3</v>
      </c>
      <c r="C58">
        <v>19.5</v>
      </c>
      <c r="D58">
        <v>20.6</v>
      </c>
      <c r="E58">
        <v>20.2</v>
      </c>
      <c r="F58">
        <v>18.399999999999999</v>
      </c>
      <c r="G58">
        <v>15.1</v>
      </c>
      <c r="H58">
        <v>11.9</v>
      </c>
      <c r="I58">
        <v>10</v>
      </c>
      <c r="J58">
        <v>9.1</v>
      </c>
      <c r="K58">
        <v>10</v>
      </c>
      <c r="L58">
        <v>12</v>
      </c>
      <c r="M58">
        <v>14.6</v>
      </c>
      <c r="N58">
        <v>14.9</v>
      </c>
      <c r="O58">
        <v>74</v>
      </c>
      <c r="P58">
        <v>1935</v>
      </c>
      <c r="Q58">
        <v>2010</v>
      </c>
    </row>
    <row r="59" spans="1:17" x14ac:dyDescent="0.25">
      <c r="A59" t="s">
        <v>110</v>
      </c>
      <c r="B59">
        <v>13.3</v>
      </c>
      <c r="C59">
        <v>14.7</v>
      </c>
      <c r="D59">
        <v>15.7</v>
      </c>
      <c r="E59">
        <v>15.8</v>
      </c>
      <c r="F59">
        <v>14.8</v>
      </c>
      <c r="G59">
        <v>13</v>
      </c>
      <c r="H59">
        <v>10.7</v>
      </c>
      <c r="I59">
        <v>9.1</v>
      </c>
      <c r="J59">
        <v>8.3000000000000007</v>
      </c>
      <c r="K59">
        <v>8.8000000000000007</v>
      </c>
      <c r="L59">
        <v>10.199999999999999</v>
      </c>
      <c r="M59">
        <v>11.5</v>
      </c>
      <c r="N59">
        <v>12.2</v>
      </c>
      <c r="O59">
        <v>73</v>
      </c>
      <c r="P59">
        <v>1935</v>
      </c>
      <c r="Q59">
        <v>2010</v>
      </c>
    </row>
    <row r="60" spans="1:17" x14ac:dyDescent="0.25">
      <c r="A60" t="s">
        <v>111</v>
      </c>
      <c r="B60">
        <v>9.6</v>
      </c>
      <c r="C60">
        <v>10.5</v>
      </c>
      <c r="D60">
        <v>11.7</v>
      </c>
      <c r="E60">
        <v>12.3</v>
      </c>
      <c r="F60">
        <v>11.8</v>
      </c>
      <c r="G60">
        <v>11.1</v>
      </c>
      <c r="H60">
        <v>9.5</v>
      </c>
      <c r="I60">
        <v>8.1999999999999993</v>
      </c>
      <c r="J60">
        <v>7.3</v>
      </c>
      <c r="K60">
        <v>7.5</v>
      </c>
      <c r="L60">
        <v>8.3000000000000007</v>
      </c>
      <c r="M60">
        <v>8.6</v>
      </c>
      <c r="N60">
        <v>9.6999999999999993</v>
      </c>
      <c r="O60">
        <v>51</v>
      </c>
      <c r="P60">
        <v>1957</v>
      </c>
      <c r="Q60">
        <v>2010</v>
      </c>
    </row>
    <row r="61" spans="1:17" x14ac:dyDescent="0.25">
      <c r="A61" t="s">
        <v>112</v>
      </c>
      <c r="B61">
        <v>62</v>
      </c>
      <c r="C61">
        <v>58</v>
      </c>
      <c r="D61">
        <v>58</v>
      </c>
      <c r="E61">
        <v>62</v>
      </c>
      <c r="F61">
        <v>67</v>
      </c>
      <c r="G61">
        <v>78</v>
      </c>
      <c r="H61">
        <v>86</v>
      </c>
      <c r="I61">
        <v>89</v>
      </c>
      <c r="J61">
        <v>90</v>
      </c>
      <c r="K61">
        <v>86</v>
      </c>
      <c r="L61">
        <v>79</v>
      </c>
      <c r="M61">
        <v>69</v>
      </c>
      <c r="N61">
        <v>74</v>
      </c>
      <c r="O61">
        <v>73</v>
      </c>
      <c r="P61">
        <v>1935</v>
      </c>
      <c r="Q61">
        <v>2010</v>
      </c>
    </row>
    <row r="62" spans="1:17" x14ac:dyDescent="0.25">
      <c r="A62" t="s">
        <v>113</v>
      </c>
      <c r="B62">
        <v>3.8</v>
      </c>
      <c r="C62">
        <v>3</v>
      </c>
      <c r="D62">
        <v>2.6</v>
      </c>
      <c r="E62">
        <v>2.7</v>
      </c>
      <c r="F62">
        <v>3.1</v>
      </c>
      <c r="G62">
        <v>4</v>
      </c>
      <c r="H62">
        <v>4.3</v>
      </c>
      <c r="I62">
        <v>4.7</v>
      </c>
      <c r="J62">
        <v>4.5999999999999996</v>
      </c>
      <c r="K62">
        <v>4.4000000000000004</v>
      </c>
      <c r="L62">
        <v>4.2</v>
      </c>
      <c r="M62">
        <v>4</v>
      </c>
      <c r="N62">
        <v>3.8</v>
      </c>
      <c r="O62">
        <v>62</v>
      </c>
      <c r="P62">
        <v>1935</v>
      </c>
      <c r="Q62">
        <v>1999</v>
      </c>
    </row>
    <row r="63" spans="1:17" x14ac:dyDescent="0.25">
      <c r="A63" t="s">
        <v>114</v>
      </c>
      <c r="B63">
        <v>12.7</v>
      </c>
      <c r="C63">
        <v>13</v>
      </c>
      <c r="D63">
        <v>13.9</v>
      </c>
      <c r="E63">
        <v>13.6</v>
      </c>
      <c r="F63">
        <v>12</v>
      </c>
      <c r="G63">
        <v>9.3000000000000007</v>
      </c>
      <c r="H63">
        <v>7.7</v>
      </c>
      <c r="I63">
        <v>8.5</v>
      </c>
      <c r="J63">
        <v>8.4</v>
      </c>
      <c r="K63">
        <v>8.1999999999999993</v>
      </c>
      <c r="L63">
        <v>10.3</v>
      </c>
      <c r="M63">
        <v>11.9</v>
      </c>
      <c r="N63">
        <v>10.8</v>
      </c>
      <c r="O63">
        <v>49</v>
      </c>
      <c r="P63">
        <v>1957</v>
      </c>
      <c r="Q63">
        <v>2010</v>
      </c>
    </row>
    <row r="64" spans="1:17" x14ac:dyDescent="0.25">
      <c r="A64" t="s">
        <v>115</v>
      </c>
      <c r="B64">
        <v>22.2</v>
      </c>
      <c r="C64">
        <v>25.8</v>
      </c>
      <c r="D64">
        <v>28.3</v>
      </c>
      <c r="E64">
        <v>28.3</v>
      </c>
      <c r="F64">
        <v>25.8</v>
      </c>
      <c r="G64">
        <v>21.4</v>
      </c>
      <c r="H64">
        <v>17.5</v>
      </c>
      <c r="I64">
        <v>14.9</v>
      </c>
      <c r="J64">
        <v>13.9</v>
      </c>
      <c r="K64">
        <v>14.5</v>
      </c>
      <c r="L64">
        <v>16.100000000000001</v>
      </c>
      <c r="M64">
        <v>18.7</v>
      </c>
      <c r="N64">
        <v>20.6</v>
      </c>
      <c r="O64">
        <v>74</v>
      </c>
      <c r="P64">
        <v>1935</v>
      </c>
      <c r="Q64">
        <v>2010</v>
      </c>
    </row>
    <row r="65" spans="1:17" x14ac:dyDescent="0.25">
      <c r="A65" t="s">
        <v>116</v>
      </c>
      <c r="B65">
        <v>15.2</v>
      </c>
      <c r="C65">
        <v>16.899999999999999</v>
      </c>
      <c r="D65">
        <v>18.3</v>
      </c>
      <c r="E65">
        <v>18.5</v>
      </c>
      <c r="F65">
        <v>17.399999999999999</v>
      </c>
      <c r="G65">
        <v>15.6</v>
      </c>
      <c r="H65">
        <v>13.5</v>
      </c>
      <c r="I65">
        <v>12</v>
      </c>
      <c r="J65">
        <v>11.1</v>
      </c>
      <c r="K65">
        <v>11.2</v>
      </c>
      <c r="L65">
        <v>12.1</v>
      </c>
      <c r="M65">
        <v>13.5</v>
      </c>
      <c r="N65">
        <v>14.6</v>
      </c>
      <c r="O65">
        <v>73</v>
      </c>
      <c r="P65">
        <v>1935</v>
      </c>
      <c r="Q65">
        <v>2010</v>
      </c>
    </row>
    <row r="66" spans="1:17" x14ac:dyDescent="0.25">
      <c r="A66" t="s">
        <v>117</v>
      </c>
      <c r="B66">
        <v>9</v>
      </c>
      <c r="C66">
        <v>9.3000000000000007</v>
      </c>
      <c r="D66">
        <v>10.4</v>
      </c>
      <c r="E66">
        <v>10.9</v>
      </c>
      <c r="F66">
        <v>10.4</v>
      </c>
      <c r="G66">
        <v>10.5</v>
      </c>
      <c r="H66">
        <v>9.8000000000000007</v>
      </c>
      <c r="I66">
        <v>9</v>
      </c>
      <c r="J66">
        <v>8.1</v>
      </c>
      <c r="K66">
        <v>7.7</v>
      </c>
      <c r="L66">
        <v>7.9</v>
      </c>
      <c r="M66">
        <v>8.4</v>
      </c>
      <c r="N66">
        <v>9.3000000000000007</v>
      </c>
      <c r="O66">
        <v>51</v>
      </c>
      <c r="P66">
        <v>1957</v>
      </c>
      <c r="Q66">
        <v>2010</v>
      </c>
    </row>
    <row r="67" spans="1:17" x14ac:dyDescent="0.25">
      <c r="A67" t="s">
        <v>118</v>
      </c>
      <c r="B67">
        <v>46</v>
      </c>
      <c r="C67">
        <v>39</v>
      </c>
      <c r="D67">
        <v>36</v>
      </c>
      <c r="E67">
        <v>37</v>
      </c>
      <c r="F67">
        <v>41</v>
      </c>
      <c r="G67">
        <v>53</v>
      </c>
      <c r="H67">
        <v>63</v>
      </c>
      <c r="I67">
        <v>70</v>
      </c>
      <c r="J67">
        <v>70</v>
      </c>
      <c r="K67">
        <v>65</v>
      </c>
      <c r="L67">
        <v>61</v>
      </c>
      <c r="M67">
        <v>54</v>
      </c>
      <c r="N67">
        <v>53</v>
      </c>
      <c r="O67">
        <v>73</v>
      </c>
      <c r="P67">
        <v>1935</v>
      </c>
      <c r="Q67">
        <v>2010</v>
      </c>
    </row>
    <row r="68" spans="1:17" x14ac:dyDescent="0.25">
      <c r="A68" t="s">
        <v>119</v>
      </c>
      <c r="B68">
        <v>3.8</v>
      </c>
      <c r="C68">
        <v>2.7</v>
      </c>
      <c r="D68">
        <v>2.2000000000000002</v>
      </c>
      <c r="E68">
        <v>2.2999999999999998</v>
      </c>
      <c r="F68">
        <v>3.1</v>
      </c>
      <c r="G68">
        <v>4.2</v>
      </c>
      <c r="H68">
        <v>4.8</v>
      </c>
      <c r="I68">
        <v>5.3</v>
      </c>
      <c r="J68">
        <v>5.3</v>
      </c>
      <c r="K68">
        <v>5.0999999999999996</v>
      </c>
      <c r="L68">
        <v>4.7</v>
      </c>
      <c r="M68">
        <v>4.0999999999999996</v>
      </c>
      <c r="N68">
        <v>4</v>
      </c>
      <c r="O68">
        <v>62</v>
      </c>
      <c r="P68">
        <v>1935</v>
      </c>
      <c r="Q68">
        <v>1999</v>
      </c>
    </row>
    <row r="69" spans="1:17" x14ac:dyDescent="0.25">
      <c r="A69" t="s">
        <v>120</v>
      </c>
      <c r="B69">
        <v>14</v>
      </c>
      <c r="C69">
        <v>13.8</v>
      </c>
      <c r="D69">
        <v>13.8</v>
      </c>
      <c r="E69">
        <v>13.6</v>
      </c>
      <c r="F69">
        <v>12.7</v>
      </c>
      <c r="G69">
        <v>11.3</v>
      </c>
      <c r="H69">
        <v>10.5</v>
      </c>
      <c r="I69">
        <v>11.9</v>
      </c>
      <c r="J69">
        <v>12.3</v>
      </c>
      <c r="K69">
        <v>12.6</v>
      </c>
      <c r="L69">
        <v>13.4</v>
      </c>
      <c r="M69">
        <v>13.9</v>
      </c>
      <c r="N69">
        <v>12.8</v>
      </c>
      <c r="O69">
        <v>47</v>
      </c>
      <c r="P69">
        <v>1957</v>
      </c>
      <c r="Q69">
        <v>2010</v>
      </c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79998168889431442"/>
  </sheetPr>
  <dimension ref="A1:P28"/>
  <sheetViews>
    <sheetView workbookViewId="0">
      <selection activeCell="T22" sqref="T22"/>
    </sheetView>
  </sheetViews>
  <sheetFormatPr defaultColWidth="9.109375" defaultRowHeight="13.2" x14ac:dyDescent="0.25"/>
  <cols>
    <col min="1" max="1" width="35.6640625" bestFit="1" customWidth="1"/>
    <col min="2" max="2" width="9.6640625" bestFit="1" customWidth="1"/>
    <col min="3" max="4" width="7" bestFit="1" customWidth="1"/>
    <col min="5" max="5" width="6.88671875" bestFit="1" customWidth="1"/>
    <col min="6" max="6" width="7" bestFit="1" customWidth="1"/>
    <col min="7" max="7" width="8.6640625" bestFit="1" customWidth="1"/>
    <col min="8" max="8" width="6.6640625" bestFit="1" customWidth="1"/>
    <col min="9" max="9" width="8.6640625" customWidth="1"/>
    <col min="10" max="10" width="8.6640625" bestFit="1" customWidth="1"/>
    <col min="11" max="11" width="6.33203125" bestFit="1" customWidth="1"/>
    <col min="12" max="13" width="7.109375" bestFit="1" customWidth="1"/>
    <col min="14" max="14" width="9.5546875" bestFit="1" customWidth="1"/>
  </cols>
  <sheetData>
    <row r="1" spans="1:16" ht="27.75" customHeight="1" x14ac:dyDescent="0.25">
      <c r="A1" s="15"/>
      <c r="B1" s="21" t="s">
        <v>121</v>
      </c>
      <c r="C1" s="15"/>
      <c r="D1" s="15"/>
      <c r="E1" s="15"/>
      <c r="F1" s="15"/>
      <c r="G1" s="21" t="s">
        <v>122</v>
      </c>
      <c r="H1" s="15"/>
      <c r="I1" s="15"/>
      <c r="J1" s="21" t="s">
        <v>123</v>
      </c>
      <c r="K1" s="15"/>
      <c r="L1" s="15"/>
      <c r="M1" s="16" t="s">
        <v>124</v>
      </c>
    </row>
    <row r="2" spans="1:16" ht="13.8" thickBot="1" x14ac:dyDescent="0.3">
      <c r="A2" s="18"/>
      <c r="B2" s="38">
        <v>45597</v>
      </c>
      <c r="C2" s="38">
        <v>45627</v>
      </c>
      <c r="D2" s="38">
        <v>45658</v>
      </c>
      <c r="E2" s="38">
        <v>45689</v>
      </c>
      <c r="F2" s="38">
        <v>45717</v>
      </c>
      <c r="G2" s="38">
        <v>45748</v>
      </c>
      <c r="H2" s="38">
        <v>45778</v>
      </c>
      <c r="I2" s="38">
        <v>45809</v>
      </c>
      <c r="J2" s="38">
        <v>45839</v>
      </c>
      <c r="K2" s="38">
        <v>45870</v>
      </c>
      <c r="L2" s="38">
        <v>45901</v>
      </c>
      <c r="M2" s="38">
        <v>45931</v>
      </c>
      <c r="N2" s="3"/>
    </row>
    <row r="3" spans="1:16" ht="13.8" thickBot="1" x14ac:dyDescent="0.3">
      <c r="A3" s="17" t="s">
        <v>137</v>
      </c>
      <c r="B3" s="39">
        <v>11.3</v>
      </c>
      <c r="C3" s="39">
        <v>14.1</v>
      </c>
      <c r="D3" s="39">
        <v>16.600000000000001</v>
      </c>
      <c r="E3" s="39">
        <v>15.3</v>
      </c>
      <c r="F3" s="39">
        <v>14.7</v>
      </c>
      <c r="G3" s="39">
        <v>11.6</v>
      </c>
      <c r="H3" s="39">
        <v>8.3000000000000007</v>
      </c>
      <c r="I3" s="39">
        <v>7.2</v>
      </c>
      <c r="J3" s="39">
        <v>4.8</v>
      </c>
      <c r="K3" s="39">
        <v>5.7</v>
      </c>
      <c r="L3" s="39">
        <v>6.6</v>
      </c>
      <c r="M3" s="39">
        <v>8.1999999999999993</v>
      </c>
      <c r="N3" s="12"/>
    </row>
    <row r="4" spans="1:16" ht="13.8" thickBot="1" x14ac:dyDescent="0.3">
      <c r="A4" s="17" t="s">
        <v>136</v>
      </c>
      <c r="B4" s="39">
        <v>25.2</v>
      </c>
      <c r="C4" s="39">
        <v>30.2</v>
      </c>
      <c r="D4" s="39">
        <v>32.4</v>
      </c>
      <c r="E4" s="39">
        <v>30.6</v>
      </c>
      <c r="F4" s="39">
        <v>30.5</v>
      </c>
      <c r="G4" s="39">
        <v>24.9</v>
      </c>
      <c r="H4" s="39">
        <v>21.7</v>
      </c>
      <c r="I4" s="39">
        <v>17.7</v>
      </c>
      <c r="J4" s="39">
        <v>15</v>
      </c>
      <c r="K4" s="39">
        <v>16.5</v>
      </c>
      <c r="L4" s="39">
        <v>18.7</v>
      </c>
      <c r="M4" s="39">
        <v>20.3</v>
      </c>
      <c r="N4" s="12"/>
    </row>
    <row r="5" spans="1:16" ht="13.8" thickBot="1" x14ac:dyDescent="0.3">
      <c r="A5" s="17" t="s">
        <v>135</v>
      </c>
      <c r="B5">
        <v>15.8</v>
      </c>
      <c r="C5">
        <v>1.8</v>
      </c>
      <c r="D5" s="36">
        <v>0.6</v>
      </c>
      <c r="E5" s="36">
        <v>0.6</v>
      </c>
      <c r="F5" s="37">
        <v>22.2</v>
      </c>
      <c r="G5" s="36">
        <v>10.199999999999999</v>
      </c>
      <c r="H5" s="37">
        <v>56.6</v>
      </c>
      <c r="I5" s="36">
        <v>156.4</v>
      </c>
      <c r="J5" s="37">
        <v>211.8</v>
      </c>
      <c r="K5" s="37">
        <v>254.2</v>
      </c>
      <c r="L5" s="37">
        <v>126</v>
      </c>
      <c r="M5" s="37">
        <v>75.2</v>
      </c>
      <c r="P5" s="10"/>
    </row>
    <row r="6" spans="1:16" ht="15.6" x14ac:dyDescent="0.3">
      <c r="D6" s="10"/>
      <c r="E6" s="1"/>
      <c r="F6" s="1"/>
      <c r="G6" s="1"/>
      <c r="H6" s="1"/>
      <c r="I6" s="1"/>
      <c r="J6" s="1"/>
      <c r="K6" s="1"/>
      <c r="M6" s="11"/>
    </row>
    <row r="7" spans="1:16" ht="15.6" x14ac:dyDescent="0.3">
      <c r="A7" s="15"/>
      <c r="B7" s="18" t="s">
        <v>125</v>
      </c>
      <c r="C7" s="18" t="s">
        <v>126</v>
      </c>
      <c r="D7" s="15"/>
      <c r="E7" s="1"/>
      <c r="F7" s="1"/>
      <c r="G7" s="1"/>
      <c r="H7" s="1"/>
      <c r="I7" s="1"/>
      <c r="J7" s="1"/>
      <c r="K7" s="1"/>
      <c r="M7" s="11"/>
    </row>
    <row r="8" spans="1:16" ht="15.6" x14ac:dyDescent="0.3">
      <c r="A8" s="18" t="s">
        <v>127</v>
      </c>
      <c r="B8" s="18">
        <f>SUM(G5:L5)</f>
        <v>815.2</v>
      </c>
      <c r="C8" s="25">
        <f>SUM('BOM Data'!H36:M36)</f>
        <v>1017.4000000000001</v>
      </c>
      <c r="D8" s="26">
        <f>B8-C8</f>
        <v>-202.20000000000005</v>
      </c>
      <c r="E8" s="1"/>
      <c r="F8" s="1"/>
      <c r="G8" s="1"/>
      <c r="H8" s="1"/>
      <c r="I8" s="1"/>
      <c r="J8" s="1"/>
      <c r="K8" s="1"/>
      <c r="M8" s="11"/>
    </row>
    <row r="9" spans="1:16" ht="15.6" x14ac:dyDescent="0.3">
      <c r="A9" s="18" t="s">
        <v>128</v>
      </c>
      <c r="B9" s="15">
        <f>SUM(J5:L5)</f>
        <v>592</v>
      </c>
      <c r="C9" s="26">
        <f>SUM('BOM Data'!K36:M36)</f>
        <v>399.20000000000005</v>
      </c>
      <c r="D9" s="26">
        <f>B9-C9</f>
        <v>192.79999999999995</v>
      </c>
      <c r="E9" s="1"/>
      <c r="F9" s="1"/>
      <c r="G9" s="1"/>
      <c r="H9" s="1"/>
      <c r="I9" s="1"/>
      <c r="J9" s="1"/>
      <c r="K9" s="1"/>
      <c r="M9" s="11"/>
    </row>
    <row r="10" spans="1:16" ht="15.6" x14ac:dyDescent="0.3">
      <c r="A10" s="18" t="s">
        <v>129</v>
      </c>
      <c r="B10" s="15">
        <f>M5</f>
        <v>75.2</v>
      </c>
      <c r="C10" s="26">
        <f>SUM('BOM Data'!B36)</f>
        <v>44.8</v>
      </c>
      <c r="D10" s="26">
        <f>B10-C10</f>
        <v>30.400000000000006</v>
      </c>
      <c r="E10" s="1"/>
      <c r="F10" s="1"/>
      <c r="G10" s="1"/>
      <c r="H10" s="1"/>
      <c r="I10" s="1"/>
      <c r="J10" s="1"/>
      <c r="K10" s="1"/>
      <c r="M10" s="11"/>
    </row>
    <row r="11" spans="1:16" ht="15.6" x14ac:dyDescent="0.3">
      <c r="F11" s="1"/>
      <c r="G11" s="1"/>
      <c r="H11" s="1"/>
      <c r="I11" s="1"/>
      <c r="J11" s="1"/>
      <c r="K11" s="1"/>
      <c r="M11" s="11"/>
    </row>
    <row r="12" spans="1:16" ht="15.6" x14ac:dyDescent="0.3">
      <c r="E12" s="1"/>
      <c r="F12" s="1"/>
      <c r="G12" s="1"/>
      <c r="H12" s="1"/>
      <c r="I12" s="1"/>
      <c r="J12" s="1"/>
      <c r="K12" s="1"/>
      <c r="M12" s="11"/>
    </row>
    <row r="13" spans="1:16" ht="15.6" x14ac:dyDescent="0.3">
      <c r="A13" s="18" t="s">
        <v>130</v>
      </c>
      <c r="B13" s="24">
        <f>AVERAGE(B4:M4)</f>
        <v>23.641666666666666</v>
      </c>
      <c r="C13" s="27">
        <f>AVERAGE('BOM Data'!D13:M13)</f>
        <v>21.259999999999998</v>
      </c>
      <c r="D13" s="27">
        <f>B13-C13</f>
        <v>2.3816666666666677</v>
      </c>
      <c r="E13" s="1"/>
      <c r="F13" s="1"/>
      <c r="G13" s="1"/>
      <c r="H13" s="1"/>
      <c r="I13" s="1"/>
      <c r="J13" s="1"/>
      <c r="K13" s="1"/>
      <c r="M13" s="11"/>
    </row>
    <row r="14" spans="1:16" ht="15.6" x14ac:dyDescent="0.3">
      <c r="A14" s="18" t="s">
        <v>131</v>
      </c>
      <c r="B14" s="24">
        <f>AVERAGE(B3:M3)</f>
        <v>10.366666666666665</v>
      </c>
      <c r="C14" s="26">
        <f>AVERAGE('BOM Data'!D23:M23)</f>
        <v>9.26</v>
      </c>
      <c r="D14" s="27">
        <f>B14-C14</f>
        <v>1.1066666666666656</v>
      </c>
      <c r="E14" s="1"/>
      <c r="F14" s="1"/>
      <c r="G14" s="1"/>
      <c r="H14" s="1"/>
      <c r="I14" s="1"/>
      <c r="J14" s="1"/>
      <c r="K14" s="1"/>
      <c r="M14" s="11"/>
    </row>
    <row r="15" spans="1:16" ht="15.6" x14ac:dyDescent="0.3">
      <c r="A15" s="18" t="s">
        <v>132</v>
      </c>
      <c r="B15" s="15">
        <f>SUM(B5:M5)</f>
        <v>931.40000000000009</v>
      </c>
      <c r="C15" s="26">
        <f>AVERAGE('BOM Data'!D36:M36)</f>
        <v>114.61999999999998</v>
      </c>
      <c r="D15" s="26">
        <f>B15-C15</f>
        <v>816.78000000000009</v>
      </c>
      <c r="E15" s="1"/>
      <c r="F15" s="1"/>
      <c r="G15" s="1"/>
      <c r="H15" s="1"/>
      <c r="I15" s="1"/>
      <c r="J15" s="1"/>
      <c r="K15" s="1"/>
      <c r="M15" s="11"/>
    </row>
    <row r="16" spans="1:16" ht="15.6" x14ac:dyDescent="0.3">
      <c r="E16" s="1"/>
      <c r="F16" s="1"/>
      <c r="G16" s="1"/>
      <c r="H16" s="1"/>
      <c r="I16" s="1"/>
      <c r="J16" s="1"/>
      <c r="K16" s="1"/>
    </row>
    <row r="17" spans="3:15" ht="15.6" x14ac:dyDescent="0.3">
      <c r="C17" s="28" t="s">
        <v>133</v>
      </c>
      <c r="D17" s="5"/>
      <c r="E17" s="29"/>
      <c r="F17" s="29"/>
      <c r="G17" s="29"/>
      <c r="H17" s="29"/>
      <c r="I17" s="29"/>
      <c r="J17" s="1"/>
      <c r="K17" s="1"/>
    </row>
    <row r="18" spans="3:15" ht="15.6" x14ac:dyDescent="0.3">
      <c r="E18" s="1"/>
      <c r="F18" s="1"/>
      <c r="G18" s="1"/>
      <c r="H18" s="1"/>
      <c r="I18" s="1"/>
      <c r="J18" s="1"/>
      <c r="K18" s="1"/>
    </row>
    <row r="19" spans="3:15" ht="15.6" x14ac:dyDescent="0.3">
      <c r="F19" s="1"/>
      <c r="G19" s="1"/>
      <c r="H19" s="1"/>
      <c r="I19" s="1"/>
      <c r="J19" s="1"/>
      <c r="K19" s="1"/>
    </row>
    <row r="20" spans="3:15" ht="15.6" x14ac:dyDescent="0.3">
      <c r="F20" s="1"/>
      <c r="G20" s="1"/>
      <c r="H20" s="1"/>
      <c r="I20" s="1"/>
      <c r="J20" s="1"/>
      <c r="K20" s="1"/>
    </row>
    <row r="21" spans="3:15" ht="15.6" x14ac:dyDescent="0.3">
      <c r="F21" s="1"/>
      <c r="G21" s="1"/>
      <c r="H21" s="1"/>
      <c r="I21" s="1"/>
      <c r="J21" s="1"/>
      <c r="K21" s="1"/>
    </row>
    <row r="22" spans="3:15" ht="15.6" x14ac:dyDescent="0.3">
      <c r="F22" s="1"/>
      <c r="G22" s="1"/>
      <c r="H22" s="1"/>
      <c r="I22" s="1"/>
      <c r="J22" s="1"/>
      <c r="K22" s="1"/>
    </row>
    <row r="23" spans="3:15" ht="13.8" thickBot="1" x14ac:dyDescent="0.3">
      <c r="C23" s="38">
        <v>45597</v>
      </c>
      <c r="D23" s="38">
        <v>45627</v>
      </c>
      <c r="E23" s="38">
        <v>45658</v>
      </c>
      <c r="F23" s="38">
        <v>45689</v>
      </c>
      <c r="G23" s="38">
        <v>45717</v>
      </c>
      <c r="H23" s="38">
        <v>45748</v>
      </c>
      <c r="I23" s="38">
        <v>45778</v>
      </c>
      <c r="J23" s="38">
        <v>45809</v>
      </c>
      <c r="K23" s="38">
        <v>45839</v>
      </c>
      <c r="L23" s="38">
        <v>45870</v>
      </c>
      <c r="M23" s="38">
        <v>45901</v>
      </c>
      <c r="N23" s="38">
        <v>45931</v>
      </c>
    </row>
    <row r="24" spans="3:15" ht="13.8" thickBot="1" x14ac:dyDescent="0.3">
      <c r="C24">
        <v>15.8</v>
      </c>
      <c r="D24">
        <v>1.8</v>
      </c>
      <c r="E24" s="36">
        <v>0.6</v>
      </c>
      <c r="F24" s="36">
        <v>0.6</v>
      </c>
      <c r="G24" s="37">
        <v>22.2</v>
      </c>
      <c r="H24" s="36">
        <v>10.199999999999999</v>
      </c>
      <c r="I24" s="37">
        <v>56.6</v>
      </c>
      <c r="J24" s="36">
        <v>156.4</v>
      </c>
      <c r="K24" s="37">
        <v>211.8</v>
      </c>
      <c r="L24" s="37">
        <v>254.2</v>
      </c>
      <c r="M24" s="37">
        <v>126</v>
      </c>
      <c r="N24" s="37">
        <v>75.2</v>
      </c>
    </row>
    <row r="27" spans="3:15" x14ac:dyDescent="0.25">
      <c r="D27" t="s">
        <v>50</v>
      </c>
      <c r="E27" t="s">
        <v>51</v>
      </c>
      <c r="F27" t="s">
        <v>52</v>
      </c>
      <c r="G27" t="s">
        <v>53</v>
      </c>
      <c r="H27" t="s">
        <v>54</v>
      </c>
      <c r="I27" t="s">
        <v>55</v>
      </c>
      <c r="J27" t="s">
        <v>56</v>
      </c>
      <c r="K27" t="s">
        <v>57</v>
      </c>
      <c r="L27" t="s">
        <v>58</v>
      </c>
      <c r="M27" t="s">
        <v>59</v>
      </c>
      <c r="N27" t="s">
        <v>60</v>
      </c>
    </row>
    <row r="28" spans="3:15" x14ac:dyDescent="0.25">
      <c r="D28" s="23">
        <v>14.7</v>
      </c>
      <c r="E28" s="23">
        <v>13.1</v>
      </c>
      <c r="F28" s="23">
        <v>10.4</v>
      </c>
      <c r="G28" s="23">
        <v>7.8</v>
      </c>
      <c r="H28" s="23">
        <v>6.5</v>
      </c>
      <c r="I28" s="23">
        <v>5.6</v>
      </c>
      <c r="J28" s="23">
        <v>5.5</v>
      </c>
      <c r="K28" s="23">
        <v>6.5</v>
      </c>
      <c r="L28" s="23">
        <v>8.1</v>
      </c>
      <c r="M28" s="23">
        <v>10.5</v>
      </c>
      <c r="N28" s="23">
        <v>12.7</v>
      </c>
      <c r="O28" s="23"/>
    </row>
  </sheetData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2328F96A31E9458492E912C3F9FF43" ma:contentTypeVersion="26" ma:contentTypeDescription="Create a new document." ma:contentTypeScope="" ma:versionID="e2c931e8225a637cc4ecf8ff0a2c02fb">
  <xsd:schema xmlns:xsd="http://www.w3.org/2001/XMLSchema" xmlns:xs="http://www.w3.org/2001/XMLSchema" xmlns:p="http://schemas.microsoft.com/office/2006/metadata/properties" xmlns:ns1="http://schemas.microsoft.com/sharepoint/v3" xmlns:ns2="b6f2b585-2671-4f10-862d-a041d79644ab" xmlns:ns3="c296ee6a-d990-4e9b-8e10-0638b200eb7b" targetNamespace="http://schemas.microsoft.com/office/2006/metadata/properties" ma:root="true" ma:fieldsID="1e668d7447663aedd95441e13e31cffb" ns1:_="" ns2:_="" ns3:_="">
    <xsd:import namespace="http://schemas.microsoft.com/sharepoint/v3"/>
    <xsd:import namespace="b6f2b585-2671-4f10-862d-a041d79644ab"/>
    <xsd:import namespace="c296ee6a-d990-4e9b-8e10-0638b200eb7b"/>
    <xsd:element name="properties">
      <xsd:complexType>
        <xsd:sequence>
          <xsd:element name="documentManagement">
            <xsd:complexType>
              <xsd:all>
                <xsd:element ref="ns2:Description_x002f_Note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2b585-2671-4f10-862d-a041d79644ab" elementFormDefault="qualified">
    <xsd:import namespace="http://schemas.microsoft.com/office/2006/documentManagement/types"/>
    <xsd:import namespace="http://schemas.microsoft.com/office/infopath/2007/PartnerControls"/>
    <xsd:element name="Description_x002f_Notes" ma:index="2" nillable="true" ma:displayName="Description/ Comments" ma:format="Dropdown" ma:internalName="Description_x002f_Note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hidden="true" ma:internalName="MediaServiceAutoTags" ma:readOnly="true">
      <xsd:simpleType>
        <xsd:restriction base="dms:Text"/>
      </xsd:simpleType>
    </xsd:element>
    <xsd:element name="MediaServiceOCR" ma:index="11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hidden="true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45fa573-325e-4533-861b-f98e748f19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Time" ma:index="30" nillable="true" ma:displayName="Date&amp;Time" ma:format="DateOnly" ma:internalName="Date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6ee6a-d990-4e9b-8e10-0638b200eb7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84257dc9-af5e-49e4-af30-d1f8f5d6d4f9}" ma:internalName="TaxCatchAll" ma:readOnly="false" ma:showField="CatchAllData" ma:web="c296ee6a-d990-4e9b-8e10-0638b200eb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TaxCatchAll xmlns="c296ee6a-d990-4e9b-8e10-0638b200eb7b" xsi:nil="true"/>
    <_ip_UnifiedCompliancePolicyUIAction xmlns="http://schemas.microsoft.com/sharepoint/v3" xsi:nil="true"/>
    <lcf76f155ced4ddcb4097134ff3c332f xmlns="b6f2b585-2671-4f10-862d-a041d79644ab">
      <Terms xmlns="http://schemas.microsoft.com/office/infopath/2007/PartnerControls"/>
    </lcf76f155ced4ddcb4097134ff3c332f>
    <_ip_UnifiedCompliancePolicyProperties xmlns="http://schemas.microsoft.com/sharepoint/v3" xsi:nil="true"/>
    <Description_x002f_Notes xmlns="b6f2b585-2671-4f10-862d-a041d79644ab" xsi:nil="true"/>
    <DateTime xmlns="b6f2b585-2671-4f10-862d-a041d79644ab" xsi:nil="true"/>
  </documentManagement>
</p:properties>
</file>

<file path=customXml/itemProps1.xml><?xml version="1.0" encoding="utf-8"?>
<ds:datastoreItem xmlns:ds="http://schemas.openxmlformats.org/officeDocument/2006/customXml" ds:itemID="{F5526459-57F3-4AF3-8E44-004D7B35A9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BFFF48-9612-4D06-A3D1-4B681AA1A11F}"/>
</file>

<file path=customXml/itemProps3.xml><?xml version="1.0" encoding="utf-8"?>
<ds:datastoreItem xmlns:ds="http://schemas.openxmlformats.org/officeDocument/2006/customXml" ds:itemID="{A78D7A57-CD33-4FC8-8A5D-91027BE2CA3A}">
  <ds:schemaRefs>
    <ds:schemaRef ds:uri="http://purl.org/dc/dcmitype/"/>
    <ds:schemaRef ds:uri="c296ee6a-d990-4e9b-8e10-0638b200eb7b"/>
    <ds:schemaRef ds:uri="http://schemas.microsoft.com/office/2006/documentManagement/types"/>
    <ds:schemaRef ds:uri="http://purl.org/dc/terms/"/>
    <ds:schemaRef ds:uri="b6f2b585-2671-4f10-862d-a041d79644a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4</vt:i4>
      </vt:variant>
    </vt:vector>
  </HeadingPairs>
  <TitlesOfParts>
    <vt:vector size="7" baseType="lpstr">
      <vt:lpstr>INSTRUCTIONS</vt:lpstr>
      <vt:lpstr>BOM Data</vt:lpstr>
      <vt:lpstr>Pre Survey</vt:lpstr>
      <vt:lpstr>Temperature</vt:lpstr>
      <vt:lpstr>Rainfall</vt:lpstr>
      <vt:lpstr>CLIMATE SUMMARY</vt:lpstr>
      <vt:lpstr>CLIMATE SUMMARY + 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PES0056 Climate Summary Template</dc:title>
  <dc:subject/>
  <dc:creator>Courtney Wilkins</dc:creator>
  <cp:keywords/>
  <dc:description/>
  <cp:lastModifiedBy>Robyn Chesney</cp:lastModifiedBy>
  <cp:revision/>
  <dcterms:created xsi:type="dcterms:W3CDTF">2008-05-26T08:41:18Z</dcterms:created>
  <dcterms:modified xsi:type="dcterms:W3CDTF">2026-04-23T05:22:16Z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40100</vt:r8>
  </property>
  <property fmtid="{D5CDD505-2E9C-101B-9397-08002B2CF9AE}" pid="3" name="ContentTypeId">
    <vt:lpwstr>0x010100BF2328F96A31E9458492E912C3F9FF43</vt:lpwstr>
  </property>
  <property fmtid="{D5CDD505-2E9C-101B-9397-08002B2CF9AE}" pid="4" name="Proejct Phase">
    <vt:lpwstr>Phase 1</vt:lpwstr>
  </property>
  <property fmtid="{D5CDD505-2E9C-101B-9397-08002B2CF9AE}" pid="5" name="Client Name">
    <vt:lpwstr>Barbara Heemink</vt:lpwstr>
  </property>
  <property fmtid="{D5CDD505-2E9C-101B-9397-08002B2CF9AE}" pid="6" name="Project Number">
    <vt:lpwstr>972</vt:lpwstr>
  </property>
  <property fmtid="{D5CDD505-2E9C-101B-9397-08002B2CF9AE}" pid="7" name="Submitted to Client">
    <vt:lpwstr>false</vt:lpwstr>
  </property>
  <property fmtid="{D5CDD505-2E9C-101B-9397-08002B2CF9AE}" pid="8" name="_ResourceType">
    <vt:lpwstr>Subterranean (both)</vt:lpwstr>
  </property>
  <property fmtid="{D5CDD505-2E9C-101B-9397-08002B2CF9AE}" pid="9" name="StartDate">
    <vt:lpwstr>2011-07-19T04:43:47+00:00</vt:lpwstr>
  </property>
  <property fmtid="{D5CDD505-2E9C-101B-9397-08002B2CF9AE}" pid="10" name="TaskStatus">
    <vt:lpwstr>Not Started</vt:lpwstr>
  </property>
  <property fmtid="{D5CDD505-2E9C-101B-9397-08002B2CF9AE}" pid="11" name="Project Name">
    <vt:lpwstr>FerrAus Pilbara Project: Dugite-Tiger and Mirrin Mirrin Mining Pits</vt:lpwstr>
  </property>
  <property fmtid="{D5CDD505-2E9C-101B-9397-08002B2CF9AE}" pid="12" name="Document Type">
    <vt:lpwstr>Report or Text</vt:lpwstr>
  </property>
  <property fmtid="{D5CDD505-2E9C-101B-9397-08002B2CF9AE}" pid="13" name="From Client">
    <vt:lpwstr>false</vt:lpwstr>
  </property>
  <property fmtid="{D5CDD505-2E9C-101B-9397-08002B2CF9AE}" pid="14" name="Active1">
    <vt:lpwstr>Active</vt:lpwstr>
  </property>
  <property fmtid="{D5CDD505-2E9C-101B-9397-08002B2CF9AE}" pid="15" name="Document Number">
    <vt:lpwstr>PES0056</vt:lpwstr>
  </property>
  <property fmtid="{D5CDD505-2E9C-101B-9397-08002B2CF9AE}" pid="16" name="Update Due-Calculated1">
    <vt:lpwstr>=[Update Due]+HSEMS Document Review Period]</vt:lpwstr>
  </property>
  <property fmtid="{D5CDD505-2E9C-101B-9397-08002B2CF9AE}" pid="17" name="HSEMS Document Review Period">
    <vt:r8>365</vt:r8>
  </property>
  <property fmtid="{D5CDD505-2E9C-101B-9397-08002B2CF9AE}" pid="18" name="HSEMS Document Review Period1">
    <vt:lpwstr>Annually</vt:lpwstr>
  </property>
  <property fmtid="{D5CDD505-2E9C-101B-9397-08002B2CF9AE}" pid="19" name="HSEQ area">
    <vt:lpwstr>Do</vt:lpwstr>
  </property>
  <property fmtid="{D5CDD505-2E9C-101B-9397-08002B2CF9AE}" pid="20" name="Custodian1">
    <vt:lpwstr>37</vt:lpwstr>
  </property>
  <property fmtid="{D5CDD505-2E9C-101B-9397-08002B2CF9AE}" pid="21" name="HSEMS Document Hierarchy">
    <vt:lpwstr/>
  </property>
  <property fmtid="{D5CDD505-2E9C-101B-9397-08002B2CF9AE}" pid="22" name="Reviewed by1">
    <vt:lpwstr>37</vt:lpwstr>
  </property>
  <property fmtid="{D5CDD505-2E9C-101B-9397-08002B2CF9AE}" pid="23" name="Phoenix Staff Member 2">
    <vt:lpwstr>21;#</vt:lpwstr>
  </property>
  <property fmtid="{D5CDD505-2E9C-101B-9397-08002B2CF9AE}" pid="24" name="Phoenix Staff Member">
    <vt:lpwstr>21;#</vt:lpwstr>
  </property>
  <property fmtid="{D5CDD505-2E9C-101B-9397-08002B2CF9AE}" pid="25" name="RoutingEnabled">
    <vt:bool>true</vt:bool>
  </property>
  <property fmtid="{D5CDD505-2E9C-101B-9397-08002B2CF9AE}" pid="26" name="Custodian10">
    <vt:lpwstr>37;#Karen Crews</vt:lpwstr>
  </property>
  <property fmtid="{D5CDD505-2E9C-101B-9397-08002B2CF9AE}" pid="27" name="Document number1">
    <vt:lpwstr>PES0056</vt:lpwstr>
  </property>
  <property fmtid="{D5CDD505-2E9C-101B-9397-08002B2CF9AE}" pid="28" name="Reviewed by10">
    <vt:lpwstr>37;#Karen Crews</vt:lpwstr>
  </property>
  <property fmtid="{D5CDD505-2E9C-101B-9397-08002B2CF9AE}" pid="29" name="HSEMS Document Component">
    <vt:lpwstr>11;#Documentation and document control|7252afaf-1754-4af3-ac0e-b809fbf0aae7</vt:lpwstr>
  </property>
  <property fmtid="{D5CDD505-2E9C-101B-9397-08002B2CF9AE}" pid="30" name="f09b44026cb647caae0dece32afb581c">
    <vt:lpwstr>Documentation and document control|7252afaf-1754-4af3-ac0e-b809fbf0aae7</vt:lpwstr>
  </property>
  <property fmtid="{D5CDD505-2E9C-101B-9397-08002B2CF9AE}" pid="31" name="MediaServiceImageTags">
    <vt:lpwstr/>
  </property>
</Properties>
</file>